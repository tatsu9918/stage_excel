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3" autoFilterDateGrouping="1"/>
  </bookViews>
  <sheets>
    <sheet xmlns:r="http://schemas.openxmlformats.org/officeDocument/2006/relationships" name="Accueil" sheetId="1" state="visible" r:id="rId1"/>
    <sheet xmlns:r="http://schemas.openxmlformats.org/officeDocument/2006/relationships" name="Checklist" sheetId="2" state="visible" r:id="rId2"/>
    <sheet xmlns:r="http://schemas.openxmlformats.org/officeDocument/2006/relationships" name="Quarantaine" sheetId="3" state="visible" r:id="rId3"/>
    <sheet xmlns:r="http://schemas.openxmlformats.org/officeDocument/2006/relationships" name="Fiche de Non-Conformité" sheetId="4" state="visible" r:id="rId4"/>
    <sheet xmlns:r="http://schemas.openxmlformats.org/officeDocument/2006/relationships" name="INT_DATA" sheetId="5" state="visible" r:id="rId5"/>
  </sheets>
  <definedNames>
    <definedName name="Action_NCP">INT_DATA!$K$2:$K$13</definedName>
    <definedName name="Action_NI">INT_DATA!$J$2:$J$9</definedName>
    <definedName name="Business_Class">INT_DATA!$A$2:$A$7</definedName>
    <definedName name="Detectabilité">INT_DATA!$F$2:$F$11</definedName>
    <definedName name="DPTMT">INT_DATA!$M$2:$M$6</definedName>
    <definedName name="Gravité">INT_DATA!$D$2:$D$11</definedName>
    <definedName name="Occurrence">INT_DATA!$E$2:$E$11</definedName>
    <definedName name="_xlnm.Print_Area" localSheetId="1">'Checklist'!$A$2:$M$28</definedName>
    <definedName name="_xlnm.Print_Area" localSheetId="2">'Quarantaine'!$B$3:$K$16</definedName>
    <definedName name="_xlnm.Print_Titles" localSheetId="3">'Fiche de Non-Conformité'!$2:$5</definedName>
    <definedName name="_xlnm.Print_Area" localSheetId="3">'Fiche de Non-Conformité'!$A$2:$AS$71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"/>
  </numFmts>
  <fonts count="46"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Trebuchet MS"/>
      <family val="2"/>
      <color theme="1"/>
      <sz val="11"/>
    </font>
    <font>
      <name val="Trebuchet MS"/>
      <family val="2"/>
      <b val="1"/>
      <color rgb="FFFFFFFF"/>
      <sz val="28"/>
    </font>
    <font>
      <name val="Trebuchet MS"/>
      <family val="2"/>
      <b val="1"/>
      <i val="1"/>
      <color rgb="FFFFFFFF"/>
      <sz val="24"/>
    </font>
    <font>
      <name val="Trebuchet MS"/>
      <family val="2"/>
      <b val="1"/>
      <color theme="1"/>
      <sz val="11"/>
    </font>
    <font>
      <name val="Trebuchet MS"/>
      <family val="2"/>
      <b val="1"/>
      <i val="1"/>
      <color theme="1"/>
      <sz val="9"/>
    </font>
    <font>
      <name val="Calibri"/>
      <family val="2"/>
      <color rgb="FF7F7F7F"/>
      <sz val="8"/>
      <scheme val="minor"/>
    </font>
    <font>
      <name val="Trebuchet MS"/>
      <family val="2"/>
      <b val="1"/>
      <color rgb="FF595959"/>
      <sz val="9"/>
    </font>
    <font>
      <name val="Trebuchet MS"/>
      <family val="2"/>
      <b val="1"/>
      <color rgb="FF595959"/>
      <sz val="14"/>
    </font>
    <font>
      <name val="Trebuchet MS"/>
      <family val="2"/>
      <b val="1"/>
      <color rgb="FF595959"/>
      <sz val="7"/>
    </font>
    <font>
      <name val="Trebuchet MS"/>
      <family val="2"/>
      <b val="1"/>
      <color rgb="FF595959"/>
      <sz val="8"/>
    </font>
    <font>
      <name val="Trebuchet MS"/>
      <family val="2"/>
      <b val="1"/>
      <color rgb="FF595959"/>
      <sz val="10"/>
    </font>
    <font>
      <name val="Trebuchet MS"/>
      <family val="2"/>
      <b val="1"/>
      <i val="1"/>
      <color rgb="FF595959"/>
      <sz val="9"/>
    </font>
    <font>
      <name val="Trebuchet MS"/>
      <family val="2"/>
      <b val="1"/>
      <i val="1"/>
      <color rgb="FF595959"/>
      <sz val="8"/>
    </font>
    <font>
      <name val="Trebuchet MS"/>
      <family val="2"/>
      <b val="1"/>
      <color rgb="FF595959"/>
      <sz val="6"/>
    </font>
    <font>
      <name val="Trebuchet MS"/>
      <family val="2"/>
      <b val="1"/>
      <i val="1"/>
      <color rgb="FF595959"/>
      <sz val="6"/>
    </font>
    <font>
      <name val="Trebuchet MS"/>
      <family val="2"/>
      <b val="1"/>
      <i val="1"/>
      <color rgb="FF595959"/>
      <sz val="7"/>
    </font>
    <font>
      <name val="Trebuchet MS"/>
      <family val="2"/>
      <b val="1"/>
      <color rgb="FF808080"/>
      <sz val="9"/>
    </font>
    <font>
      <name val="Trebuchet MS"/>
      <family val="2"/>
      <b val="1"/>
      <color rgb="FF808080"/>
      <sz val="8"/>
    </font>
    <font>
      <name val="Trebuchet MS"/>
      <family val="2"/>
      <b val="1"/>
      <color rgb="FF4472C4"/>
      <sz val="8"/>
    </font>
    <font>
      <name val="Trebuchet MS"/>
      <family val="2"/>
      <i val="1"/>
      <color rgb="FF595959"/>
      <sz val="8"/>
    </font>
    <font>
      <name val="Trebuchet MS"/>
      <family val="2"/>
      <i val="1"/>
      <color rgb="FF595959"/>
      <sz val="6"/>
    </font>
    <font>
      <name val="MS Gothic"/>
      <family val="3"/>
      <b val="1"/>
      <color rgb="FF595959"/>
      <sz val="8"/>
    </font>
    <font>
      <name val="Trebuchet MS"/>
      <family val="2"/>
      <b val="1"/>
      <color rgb="FF595959"/>
      <sz val="3"/>
    </font>
    <font>
      <name val="MS Gothic"/>
      <family val="3"/>
      <b val="1"/>
      <color rgb="FF595959"/>
      <sz val="10"/>
    </font>
    <font>
      <name val="Trebuchet MS"/>
      <family val="2"/>
      <b val="1"/>
      <color rgb="FF595959"/>
      <sz val="5"/>
    </font>
    <font>
      <name val="Symbol"/>
      <charset val="2"/>
      <family val="1"/>
      <b val="1"/>
      <color rgb="FF595959"/>
      <sz val="7"/>
    </font>
    <font>
      <name val="Calibri"/>
      <family val="2"/>
      <sz val="8"/>
      <scheme val="minor"/>
    </font>
    <font>
      <name val="Trebuchet MS"/>
      <family val="2"/>
      <color theme="1"/>
      <sz val="3"/>
    </font>
    <font>
      <name val="Trebuchet MS"/>
      <family val="2"/>
      <sz val="14"/>
    </font>
    <font>
      <name val="Trebuchet MS"/>
      <family val="2"/>
      <i val="1"/>
      <sz val="14"/>
    </font>
    <font>
      <name val="Trebuchet MS"/>
      <family val="2"/>
      <sz val="2"/>
    </font>
    <font>
      <name val="Trebuchet MS"/>
      <family val="2"/>
      <b val="1"/>
      <color rgb="FF003E77"/>
      <sz val="22"/>
    </font>
    <font>
      <name val="Trebuchet MS"/>
      <family val="2"/>
      <b val="1"/>
      <color rgb="FF003E77"/>
      <sz val="8"/>
    </font>
    <font>
      <name val="Trebuchet MS"/>
      <family val="2"/>
      <sz val="11"/>
    </font>
    <font>
      <name val="Times New Roman"/>
      <family val="1"/>
      <sz val="7"/>
    </font>
    <font>
      <name val="Trebuchet MS"/>
      <family val="2"/>
      <b val="1"/>
      <color rgb="FF003E77"/>
      <sz val="10"/>
    </font>
    <font>
      <name val="Symbol"/>
      <charset val="2"/>
      <family val="1"/>
      <sz val="11"/>
    </font>
    <font>
      <name val="Wingdings"/>
      <charset val="2"/>
      <sz val="11"/>
    </font>
    <font>
      <name val="Trebuchet MS"/>
      <family val="2"/>
      <b val="1"/>
      <color rgb="FF003E77"/>
      <sz val="7"/>
    </font>
    <font>
      <name val="Trebuchet MS"/>
      <family val="2"/>
      <b val="1"/>
      <color rgb="FF003E77"/>
      <sz val="14"/>
    </font>
    <font>
      <name val="Trebuchet MS"/>
      <family val="2"/>
      <b val="1"/>
      <color rgb="FF003E77"/>
      <sz val="24"/>
    </font>
    <font>
      <name val="Calibri"/>
      <family val="2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rgb="FF808080"/>
      </left>
      <right/>
      <top style="medium">
        <color rgb="FF808080"/>
      </top>
      <bottom/>
      <diagonal/>
    </border>
    <border>
      <left/>
      <right/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/>
      <top style="medium">
        <color indexed="64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Dashed">
        <color rgb="FF808080"/>
      </right>
      <top/>
      <bottom/>
      <diagonal/>
    </border>
    <border>
      <left style="mediumDashed">
        <color rgb="FF808080"/>
      </left>
      <right style="medium">
        <color rgb="FF808080"/>
      </right>
      <top/>
      <bottom/>
      <diagonal/>
    </border>
    <border>
      <left style="mediumDashed">
        <color rgb="FF808080"/>
      </left>
      <right/>
      <top/>
      <bottom/>
      <diagonal/>
    </border>
    <border>
      <left/>
      <right style="mediumDashed">
        <color rgb="FF808080"/>
      </right>
      <top style="medium">
        <color rgb="FF808080"/>
      </top>
      <bottom/>
      <diagonal/>
    </border>
    <border>
      <left/>
      <right style="mediumDashed">
        <color rgb="FF808080"/>
      </right>
      <top/>
      <bottom/>
      <diagonal/>
    </border>
    <border>
      <left style="mediumDashed">
        <color rgb="FF808080"/>
      </left>
      <right/>
      <top/>
      <bottom style="medium">
        <color rgb="FF808080"/>
      </bottom>
      <diagonal/>
    </border>
    <border>
      <left/>
      <right style="mediumDashed">
        <color rgb="FF808080"/>
      </right>
      <top/>
      <bottom style="medium">
        <color rgb="FF808080"/>
      </bottom>
      <diagonal/>
    </border>
    <border>
      <left/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4">
    <xf numFmtId="0" fontId="0" fillId="0" borderId="0" pivotButton="0" quotePrefix="0" xfId="0"/>
    <xf numFmtId="0" fontId="1" fillId="0" borderId="0" pivotButton="0" quotePrefix="0" xfId="0"/>
    <xf numFmtId="0" fontId="10" fillId="0" borderId="0" applyAlignment="1" pivotButton="0" quotePrefix="0" xfId="0">
      <alignment horizontal="right" vertical="center" wrapText="1"/>
    </xf>
    <xf numFmtId="0" fontId="8" fillId="0" borderId="0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left" vertical="center" wrapText="1"/>
    </xf>
    <xf numFmtId="0" fontId="8" fillId="0" borderId="7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8" applyAlignment="1" pivotButton="0" quotePrefix="0" xfId="0">
      <alignment horizontal="justify" vertical="center" wrapText="1"/>
    </xf>
    <xf numFmtId="0" fontId="8" fillId="0" borderId="7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/>
    </xf>
    <xf numFmtId="0" fontId="10" fillId="0" borderId="0" applyAlignment="1" pivotButton="0" quotePrefix="0" xfId="0">
      <alignment horizontal="right" vertical="center" wrapText="1"/>
    </xf>
    <xf numFmtId="0" fontId="0" fillId="0" borderId="0" pivotButton="0" quotePrefix="0" xfId="0"/>
    <xf numFmtId="0" fontId="5" fillId="0" borderId="16" applyAlignment="1" pivotButton="0" quotePrefix="0" xfId="0">
      <alignment vertical="center" wrapText="1"/>
    </xf>
    <xf numFmtId="0" fontId="6" fillId="0" borderId="14" applyAlignment="1" pivotButton="0" quotePrefix="0" xfId="0">
      <alignment vertical="center" wrapText="1"/>
    </xf>
    <xf numFmtId="0" fontId="5" fillId="0" borderId="0" applyAlignment="1" pivotButton="0" quotePrefix="0" xfId="0">
      <alignment horizontal="right" vertical="center" wrapText="1"/>
    </xf>
    <xf numFmtId="0" fontId="5" fillId="0" borderId="7" applyAlignment="1" pivotButton="0" quotePrefix="0" xfId="0">
      <alignment horizontal="right" vertical="center" wrapText="1"/>
    </xf>
    <xf numFmtId="0" fontId="6" fillId="0" borderId="9" applyAlignment="1" pivotButton="0" quotePrefix="0" xfId="0">
      <alignment horizontal="right" vertical="center" wrapText="1"/>
    </xf>
    <xf numFmtId="0" fontId="6" fillId="0" borderId="10" applyAlignment="1" pivotButton="0" quotePrefix="0" xfId="0">
      <alignment horizontal="right" vertical="center" wrapText="1"/>
    </xf>
    <xf numFmtId="0" fontId="2" fillId="2" borderId="0" applyAlignment="1" pivotButton="0" quotePrefix="0" xfId="0">
      <alignment vertical="center" wrapText="1"/>
    </xf>
    <xf numFmtId="0" fontId="30" fillId="0" borderId="0" applyAlignment="1" pivotButton="0" quotePrefix="0" xfId="0">
      <alignment horizontal="right" vertical="center" wrapText="1"/>
    </xf>
    <xf numFmtId="0" fontId="32" fillId="0" borderId="0" applyAlignment="1" pivotButton="0" quotePrefix="0" xfId="0">
      <alignment horizontal="right" vertical="center" wrapText="1"/>
    </xf>
    <xf numFmtId="0" fontId="40" fillId="0" borderId="0" applyAlignment="1" pivotButton="0" quotePrefix="0" xfId="0">
      <alignment horizontal="center" vertical="center" wrapText="1"/>
    </xf>
    <xf numFmtId="0" fontId="34" fillId="0" borderId="33" applyAlignment="1" pivotButton="0" quotePrefix="0" xfId="0">
      <alignment horizontal="center" vertical="center" wrapText="1"/>
    </xf>
    <xf numFmtId="0" fontId="37" fillId="0" borderId="34" applyAlignment="1" pivotButton="0" quotePrefix="0" xfId="0">
      <alignment vertical="center" wrapText="1"/>
    </xf>
    <xf numFmtId="0" fontId="37" fillId="0" borderId="33" applyAlignment="1" pivotButton="0" quotePrefix="0" xfId="0">
      <alignment vertical="center" wrapText="1"/>
    </xf>
    <xf numFmtId="0" fontId="37" fillId="0" borderId="35" applyAlignment="1" pivotButton="0" quotePrefix="0" xfId="0">
      <alignment vertical="center" wrapText="1"/>
    </xf>
    <xf numFmtId="0" fontId="43" fillId="0" borderId="0" pivotButton="0" quotePrefix="0" xfId="0"/>
    <xf numFmtId="164" fontId="45" fillId="0" borderId="0" pivotButton="0" quotePrefix="0" xfId="0"/>
    <xf numFmtId="0" fontId="44" fillId="0" borderId="0" pivotButton="0" quotePrefix="0" xfId="0"/>
    <xf numFmtId="0" fontId="44" fillId="0" borderId="0" pivotButton="0" quotePrefix="0" xfId="0"/>
    <xf numFmtId="0" fontId="30" fillId="0" borderId="10" applyAlignment="1" pivotButton="0" quotePrefix="0" xfId="0">
      <alignment horizontal="right" vertical="center" wrapText="1"/>
    </xf>
    <xf numFmtId="0" fontId="30" fillId="0" borderId="0" applyAlignment="1" pivotButton="0" quotePrefix="0" xfId="0">
      <alignment horizontal="right" vertical="center" wrapText="1"/>
    </xf>
    <xf numFmtId="14" fontId="30" fillId="0" borderId="10" applyAlignment="1" pivotButton="0" quotePrefix="0" xfId="0">
      <alignment horizontal="center" vertical="center" wrapText="1"/>
    </xf>
    <xf numFmtId="0" fontId="30" fillId="0" borderId="5" applyAlignment="1" pivotButton="0" quotePrefix="0" xfId="0">
      <alignment horizontal="right" vertical="center" wrapText="1"/>
    </xf>
    <xf numFmtId="0" fontId="31" fillId="0" borderId="0" applyAlignment="1" pivotButton="0" quotePrefix="0" xfId="0">
      <alignment horizontal="right" vertical="center" wrapText="1"/>
    </xf>
    <xf numFmtId="0" fontId="32" fillId="0" borderId="27" applyAlignment="1" pivotButton="0" quotePrefix="0" xfId="0">
      <alignment horizontal="right" vertical="center" wrapText="1"/>
    </xf>
    <xf numFmtId="0" fontId="32" fillId="0" borderId="26" applyAlignment="1" pivotButton="0" quotePrefix="0" xfId="0">
      <alignment horizontal="right" vertical="center" wrapText="1"/>
    </xf>
    <xf numFmtId="0" fontId="33" fillId="0" borderId="21" applyAlignment="1" pivotButton="0" quotePrefix="0" xfId="0">
      <alignment horizontal="center" vertical="center" wrapText="1"/>
    </xf>
    <xf numFmtId="0" fontId="33" fillId="0" borderId="22" applyAlignment="1" pivotButton="0" quotePrefix="0" xfId="0">
      <alignment horizontal="center" vertical="center" wrapText="1"/>
    </xf>
    <xf numFmtId="0" fontId="33" fillId="0" borderId="23" applyAlignment="1" pivotButton="0" quotePrefix="0" xfId="0">
      <alignment horizontal="center" vertical="center" wrapText="1"/>
    </xf>
    <xf numFmtId="0" fontId="34" fillId="0" borderId="25" applyAlignment="1" pivotButton="0" quotePrefix="0" xfId="0">
      <alignment horizontal="center" vertical="center" wrapText="1"/>
    </xf>
    <xf numFmtId="0" fontId="34" fillId="0" borderId="26" applyAlignment="1" pivotButton="0" quotePrefix="0" xfId="0">
      <alignment horizontal="center" vertical="center" wrapText="1"/>
    </xf>
    <xf numFmtId="0" fontId="34" fillId="0" borderId="33" applyAlignment="1" pivotButton="0" quotePrefix="0" xfId="0">
      <alignment horizontal="center" vertical="center" wrapText="1"/>
    </xf>
    <xf numFmtId="0" fontId="34" fillId="0" borderId="32" applyAlignment="1" pivotButton="0" quotePrefix="0" xfId="0">
      <alignment horizontal="center" vertical="center" wrapText="1"/>
    </xf>
    <xf numFmtId="0" fontId="35" fillId="0" borderId="28" applyAlignment="1" pivotButton="0" quotePrefix="0" xfId="0">
      <alignment horizontal="left" vertical="center" wrapText="1" indent="2"/>
    </xf>
    <xf numFmtId="0" fontId="35" fillId="0" borderId="29" applyAlignment="1" pivotButton="0" quotePrefix="0" xfId="0">
      <alignment horizontal="left" vertical="center" wrapText="1" indent="2"/>
    </xf>
    <xf numFmtId="0" fontId="37" fillId="0" borderId="34" applyAlignment="1" pivotButton="0" quotePrefix="0" xfId="0">
      <alignment vertical="center" wrapText="1"/>
    </xf>
    <xf numFmtId="0" fontId="37" fillId="0" borderId="31" applyAlignment="1" pivotButton="0" quotePrefix="0" xfId="0">
      <alignment vertical="center" wrapText="1"/>
    </xf>
    <xf numFmtId="0" fontId="35" fillId="0" borderId="21" applyAlignment="1" pivotButton="0" quotePrefix="0" xfId="0">
      <alignment horizontal="left" vertical="center" wrapText="1" indent="2"/>
    </xf>
    <xf numFmtId="0" fontId="35" fillId="0" borderId="22" applyAlignment="1" pivotButton="0" quotePrefix="0" xfId="0">
      <alignment horizontal="left" vertical="center" wrapText="1" indent="2"/>
    </xf>
    <xf numFmtId="0" fontId="38" fillId="0" borderId="25" applyAlignment="1" pivotButton="0" quotePrefix="0" xfId="0">
      <alignment horizontal="left" vertical="center" wrapText="1" indent="4"/>
    </xf>
    <xf numFmtId="0" fontId="38" fillId="0" borderId="26" applyAlignment="1" pivotButton="0" quotePrefix="0" xfId="0">
      <alignment horizontal="left" vertical="center" wrapText="1" indent="4"/>
    </xf>
    <xf numFmtId="0" fontId="37" fillId="0" borderId="35" applyAlignment="1" pivotButton="0" quotePrefix="0" xfId="0">
      <alignment vertical="center" wrapText="1"/>
    </xf>
    <xf numFmtId="0" fontId="37" fillId="0" borderId="37" applyAlignment="1" pivotButton="0" quotePrefix="0" xfId="0">
      <alignment vertical="center" wrapText="1"/>
    </xf>
    <xf numFmtId="0" fontId="37" fillId="0" borderId="33" applyAlignment="1" pivotButton="0" quotePrefix="0" xfId="0">
      <alignment vertical="center" wrapText="1"/>
    </xf>
    <xf numFmtId="0" fontId="37" fillId="0" borderId="36" applyAlignment="1" pivotButton="0" quotePrefix="0" xfId="0">
      <alignment vertical="center" wrapText="1"/>
    </xf>
    <xf numFmtId="0" fontId="37" fillId="0" borderId="38" applyAlignment="1" pivotButton="0" quotePrefix="0" xfId="0">
      <alignment vertical="center" wrapText="1"/>
    </xf>
    <xf numFmtId="0" fontId="37" fillId="0" borderId="32" applyAlignment="1" pivotButton="0" quotePrefix="0" xfId="0">
      <alignment vertical="center" wrapText="1"/>
    </xf>
    <xf numFmtId="0" fontId="38" fillId="0" borderId="24" applyAlignment="1" pivotButton="0" quotePrefix="0" xfId="0">
      <alignment horizontal="left" vertical="center" wrapText="1" indent="4"/>
    </xf>
    <xf numFmtId="0" fontId="38" fillId="0" borderId="0" applyAlignment="1" pivotButton="0" quotePrefix="0" xfId="0">
      <alignment horizontal="left" vertical="center" wrapText="1" indent="4"/>
    </xf>
    <xf numFmtId="0" fontId="41" fillId="0" borderId="0" applyAlignment="1" pivotButton="0" quotePrefix="0" xfId="0">
      <alignment horizontal="center" vertical="center" wrapText="1"/>
    </xf>
    <xf numFmtId="0" fontId="39" fillId="0" borderId="24" applyAlignment="1" pivotButton="0" quotePrefix="0" xfId="0">
      <alignment horizontal="left" vertical="center" wrapText="1" indent="4"/>
    </xf>
    <xf numFmtId="0" fontId="39" fillId="0" borderId="0" applyAlignment="1" pivotButton="0" quotePrefix="0" xfId="0">
      <alignment horizontal="left" vertical="center" wrapText="1" indent="4"/>
    </xf>
    <xf numFmtId="0" fontId="0" fillId="3" borderId="0" applyAlignment="1" pivotButton="0" quotePrefix="0" xfId="0">
      <alignment horizontal="center"/>
    </xf>
    <xf numFmtId="0" fontId="42" fillId="3" borderId="0" applyAlignment="1" pivotButton="0" quotePrefix="0" xfId="0">
      <alignment horizontal="right"/>
    </xf>
    <xf numFmtId="0" fontId="37" fillId="0" borderId="0" applyAlignment="1" pivotButton="0" quotePrefix="0" xfId="0">
      <alignment vertical="center" wrapText="1"/>
    </xf>
    <xf numFmtId="0" fontId="37" fillId="0" borderId="0" applyAlignment="1" pivotButton="0" quotePrefix="0" xfId="0">
      <alignment horizontal="center" vertical="center" wrapText="1"/>
    </xf>
    <xf numFmtId="0" fontId="37" fillId="0" borderId="35" applyAlignment="1" pivotButton="0" quotePrefix="0" xfId="0">
      <alignment horizontal="center" vertical="center" wrapText="1"/>
    </xf>
    <xf numFmtId="0" fontId="37" fillId="0" borderId="37" applyAlignment="1" pivotButton="0" quotePrefix="0" xfId="0">
      <alignment horizontal="center" vertical="center" wrapText="1"/>
    </xf>
    <xf numFmtId="0" fontId="37" fillId="0" borderId="33" applyAlignment="1" pivotButton="0" quotePrefix="0" xfId="0">
      <alignment horizontal="center" vertical="center" wrapText="1"/>
    </xf>
    <xf numFmtId="0" fontId="41" fillId="0" borderId="28" applyAlignment="1" pivotButton="0" quotePrefix="0" xfId="0">
      <alignment horizontal="right" vertical="center" wrapText="1"/>
    </xf>
    <xf numFmtId="0" fontId="41" fillId="0" borderId="29" applyAlignment="1" pivotButton="0" quotePrefix="0" xfId="0">
      <alignment horizontal="right" vertical="center" wrapText="1"/>
    </xf>
    <xf numFmtId="0" fontId="40" fillId="0" borderId="29" applyAlignment="1" pivotButton="0" quotePrefix="0" xfId="0">
      <alignment horizontal="center" vertical="center" wrapText="1"/>
    </xf>
    <xf numFmtId="0" fontId="40" fillId="0" borderId="30" applyAlignment="1" pivotButton="0" quotePrefix="0" xfId="0">
      <alignment horizontal="center" vertical="center" wrapText="1"/>
    </xf>
    <xf numFmtId="0" fontId="39" fillId="0" borderId="25" applyAlignment="1" pivotButton="0" quotePrefix="0" xfId="0">
      <alignment horizontal="left" vertical="center" wrapText="1" indent="4"/>
    </xf>
    <xf numFmtId="0" fontId="39" fillId="0" borderId="26" applyAlignment="1" pivotButton="0" quotePrefix="0" xfId="0">
      <alignment horizontal="left" vertical="center" wrapText="1" indent="4"/>
    </xf>
    <xf numFmtId="0" fontId="40" fillId="0" borderId="22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0" fontId="2" fillId="0" borderId="10" applyAlignment="1" pivotButton="0" quotePrefix="0" xfId="0">
      <alignment vertical="center" wrapText="1"/>
    </xf>
    <xf numFmtId="0" fontId="5" fillId="0" borderId="4" applyAlignment="1" pivotButton="0" quotePrefix="0" xfId="0">
      <alignment vertical="center" wrapText="1"/>
    </xf>
    <xf numFmtId="0" fontId="5" fillId="0" borderId="5" applyAlignment="1" pivotButton="0" quotePrefix="0" xfId="0">
      <alignment vertical="center" wrapText="1"/>
    </xf>
    <xf numFmtId="0" fontId="5" fillId="0" borderId="17" applyAlignment="1" pivotButton="0" quotePrefix="0" xfId="0">
      <alignment vertical="center" wrapText="1"/>
    </xf>
    <xf numFmtId="0" fontId="6" fillId="0" borderId="9" applyAlignment="1" pivotButton="0" quotePrefix="0" xfId="0">
      <alignment vertical="center" wrapText="1"/>
    </xf>
    <xf numFmtId="0" fontId="6" fillId="0" borderId="10" applyAlignment="1" pivotButton="0" quotePrefix="0" xfId="0">
      <alignment vertical="center" wrapText="1"/>
    </xf>
    <xf numFmtId="0" fontId="6" fillId="0" borderId="14" applyAlignment="1" pivotButton="0" quotePrefix="0" xfId="0">
      <alignment vertical="center" wrapText="1"/>
    </xf>
    <xf numFmtId="0" fontId="2" fillId="0" borderId="18" applyAlignment="1" pivotButton="0" quotePrefix="0" xfId="0">
      <alignment vertical="center" wrapText="1"/>
    </xf>
    <xf numFmtId="0" fontId="2" fillId="0" borderId="19" applyAlignment="1" pivotButton="0" quotePrefix="0" xfId="0">
      <alignment vertical="center" wrapText="1"/>
    </xf>
    <xf numFmtId="0" fontId="5" fillId="0" borderId="20" applyAlignment="1" pivotButton="0" quotePrefix="0" xfId="0">
      <alignment vertical="center" wrapText="1"/>
    </xf>
    <xf numFmtId="0" fontId="5" fillId="0" borderId="15" applyAlignment="1" pivotButton="0" quotePrefix="0" xfId="0">
      <alignment vertical="center" wrapText="1"/>
    </xf>
    <xf numFmtId="0" fontId="6" fillId="0" borderId="0" applyAlignment="1" pivotButton="0" quotePrefix="0" xfId="0">
      <alignment vertical="center" wrapText="1"/>
    </xf>
    <xf numFmtId="0" fontId="7" fillId="0" borderId="0" applyAlignment="1" pivotButton="0" quotePrefix="0" xfId="0">
      <alignment horizontal="right" vertical="center" wrapText="1"/>
    </xf>
    <xf numFmtId="0" fontId="2" fillId="0" borderId="5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2" fillId="0" borderId="1" applyAlignment="1" pivotButton="0" quotePrefix="0" xfId="0">
      <alignment vertical="center" wrapText="1"/>
    </xf>
    <xf numFmtId="0" fontId="2" fillId="0" borderId="3" applyAlignment="1" pivotButton="0" quotePrefix="0" xfId="0">
      <alignment vertical="center" wrapText="1"/>
    </xf>
    <xf numFmtId="0" fontId="2" fillId="0" borderId="2" applyAlignment="1" pivotButton="0" quotePrefix="0" xfId="0">
      <alignment vertical="center" wrapText="1"/>
    </xf>
    <xf numFmtId="0" fontId="29" fillId="0" borderId="3" applyAlignment="1" pivotButton="0" quotePrefix="0" xfId="0">
      <alignment horizontal="right" vertical="center" wrapText="1"/>
    </xf>
    <xf numFmtId="0" fontId="5" fillId="0" borderId="5" applyAlignment="1" pivotButton="0" quotePrefix="0" xfId="0">
      <alignment horizontal="left" vertical="center" wrapText="1"/>
    </xf>
    <xf numFmtId="0" fontId="5" fillId="0" borderId="6" applyAlignment="1" pivotButton="0" quotePrefix="0" xfId="0">
      <alignment horizontal="left" vertical="center" wrapText="1"/>
    </xf>
    <xf numFmtId="0" fontId="5" fillId="0" borderId="10" applyAlignment="1" pivotButton="0" quotePrefix="0" xfId="0">
      <alignment horizontal="left" vertical="center" wrapText="1"/>
    </xf>
    <xf numFmtId="0" fontId="5" fillId="0" borderId="11" applyAlignment="1" pivotButton="0" quotePrefix="0" xfId="0">
      <alignment horizontal="left" vertical="center" wrapText="1"/>
    </xf>
    <xf numFmtId="0" fontId="5" fillId="0" borderId="4" applyAlignment="1" pivotButton="0" quotePrefix="0" xfId="0">
      <alignment horizontal="right" vertical="center" wrapText="1"/>
    </xf>
    <xf numFmtId="0" fontId="5" fillId="0" borderId="9" applyAlignment="1" pivotButton="0" quotePrefix="0" xfId="0">
      <alignment horizontal="right" vertical="center" wrapText="1"/>
    </xf>
    <xf numFmtId="14" fontId="5" fillId="0" borderId="6" applyAlignment="1" pivotButton="0" quotePrefix="0" xfId="0">
      <alignment horizontal="left" vertical="center" wrapText="1"/>
    </xf>
    <xf numFmtId="0" fontId="2" fillId="0" borderId="5" applyAlignment="1" pivotButton="0" quotePrefix="0" xfId="0">
      <alignment horizontal="right" vertical="center" wrapText="1"/>
    </xf>
    <xf numFmtId="0" fontId="2" fillId="0" borderId="6" applyAlignment="1" pivotButton="0" quotePrefix="0" xfId="0">
      <alignment horizontal="right" vertical="center" wrapText="1"/>
    </xf>
    <xf numFmtId="0" fontId="2" fillId="0" borderId="10" applyAlignment="1" pivotButton="0" quotePrefix="0" xfId="0">
      <alignment horizontal="right" vertical="center" wrapText="1"/>
    </xf>
    <xf numFmtId="0" fontId="2" fillId="0" borderId="11" applyAlignment="1" pivotButton="0" quotePrefix="0" xfId="0">
      <alignment horizontal="right" vertical="center" wrapText="1"/>
    </xf>
    <xf numFmtId="0" fontId="11" fillId="0" borderId="7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8" applyAlignment="1" pivotButton="0" quotePrefix="0" xfId="0">
      <alignment horizontal="justify" vertical="center" wrapText="1"/>
    </xf>
    <xf numFmtId="0" fontId="12" fillId="0" borderId="7" applyAlignment="1" pivotButton="0" quotePrefix="0" xfId="0">
      <alignment horizontal="justify" vertical="center" wrapText="1"/>
    </xf>
    <xf numFmtId="0" fontId="12" fillId="0" borderId="0" applyAlignment="1" pivotButton="0" quotePrefix="0" xfId="0">
      <alignment horizontal="justify" vertical="center" wrapText="1"/>
    </xf>
    <xf numFmtId="0" fontId="11" fillId="4" borderId="0" applyAlignment="1" pivotButton="0" quotePrefix="0" xfId="0">
      <alignment horizontal="left" vertical="center" wrapText="1"/>
    </xf>
    <xf numFmtId="0" fontId="23" fillId="4" borderId="0" applyAlignment="1" pivotButton="0" quotePrefix="0" xfId="0">
      <alignment horizontal="left" vertical="center" wrapText="1"/>
    </xf>
    <xf numFmtId="0" fontId="12" fillId="0" borderId="4" applyAlignment="1" pivotButton="0" quotePrefix="0" xfId="0">
      <alignment horizontal="right" vertical="center" wrapText="1"/>
    </xf>
    <xf numFmtId="0" fontId="12" fillId="0" borderId="5" applyAlignment="1" pivotButton="0" quotePrefix="0" xfId="0">
      <alignment horizontal="right" vertical="center" wrapText="1"/>
    </xf>
    <xf numFmtId="0" fontId="11" fillId="0" borderId="9" applyAlignment="1" pivotButton="0" quotePrefix="0" xfId="0">
      <alignment horizontal="justify" vertical="center" wrapText="1"/>
    </xf>
    <xf numFmtId="0" fontId="11" fillId="0" borderId="10" applyAlignment="1" pivotButton="0" quotePrefix="0" xfId="0">
      <alignment horizontal="justify" vertical="center" wrapText="1"/>
    </xf>
    <xf numFmtId="0" fontId="11" fillId="0" borderId="11" applyAlignment="1" pivotButton="0" quotePrefix="0" xfId="0">
      <alignment horizontal="justify" vertical="center" wrapText="1"/>
    </xf>
    <xf numFmtId="0" fontId="11" fillId="0" borderId="1" applyAlignment="1" applyProtection="1" pivotButton="0" quotePrefix="0" xfId="0">
      <alignment horizontal="justify" vertical="center" wrapText="1"/>
      <protection locked="0" hidden="0"/>
    </xf>
    <xf numFmtId="0" fontId="11" fillId="0" borderId="3" applyAlignment="1" applyProtection="1" pivotButton="0" quotePrefix="0" xfId="0">
      <alignment horizontal="justify" vertical="center" wrapText="1"/>
      <protection locked="0" hidden="0"/>
    </xf>
    <xf numFmtId="0" fontId="11" fillId="0" borderId="2" applyAlignment="1" applyProtection="1" pivotButton="0" quotePrefix="0" xfId="0">
      <alignment horizontal="justify" vertical="center" wrapText="1"/>
      <protection locked="0" hidden="0"/>
    </xf>
    <xf numFmtId="0" fontId="12" fillId="0" borderId="3" applyAlignment="1" pivotButton="0" quotePrefix="0" xfId="0">
      <alignment horizontal="justify" vertical="center" wrapText="1"/>
    </xf>
    <xf numFmtId="0" fontId="12" fillId="0" borderId="4" applyAlignment="1" pivotButton="0" quotePrefix="0" xfId="0">
      <alignment horizontal="justify" vertical="center" wrapText="1"/>
    </xf>
    <xf numFmtId="0" fontId="12" fillId="0" borderId="5" applyAlignment="1" pivotButton="0" quotePrefix="0" xfId="0">
      <alignment horizontal="justify" vertical="center" wrapText="1"/>
    </xf>
    <xf numFmtId="0" fontId="12" fillId="0" borderId="6" applyAlignment="1" pivotButton="0" quotePrefix="0" xfId="0">
      <alignment horizontal="justify" vertical="center" wrapText="1"/>
    </xf>
    <xf numFmtId="0" fontId="24" fillId="0" borderId="9" applyAlignment="1" pivotButton="0" quotePrefix="0" xfId="0">
      <alignment horizontal="justify" vertical="center" wrapText="1"/>
    </xf>
    <xf numFmtId="0" fontId="24" fillId="0" borderId="10" applyAlignment="1" pivotButton="0" quotePrefix="0" xfId="0">
      <alignment horizontal="justify" vertical="center" wrapText="1"/>
    </xf>
    <xf numFmtId="0" fontId="24" fillId="0" borderId="11" applyAlignment="1" pivotButton="0" quotePrefix="0" xfId="0">
      <alignment horizontal="justify" vertical="center" wrapText="1"/>
    </xf>
    <xf numFmtId="0" fontId="11" fillId="5" borderId="1" applyAlignment="1" applyProtection="1" pivotButton="0" quotePrefix="0" xfId="0">
      <alignment horizontal="justify" vertical="center" wrapText="1"/>
      <protection locked="0" hidden="0"/>
    </xf>
    <xf numFmtId="0" fontId="11" fillId="5" borderId="3" applyAlignment="1" applyProtection="1" pivotButton="0" quotePrefix="0" xfId="0">
      <alignment horizontal="justify" vertical="center" wrapText="1"/>
      <protection locked="0" hidden="0"/>
    </xf>
    <xf numFmtId="0" fontId="11" fillId="5" borderId="2" applyAlignment="1" applyProtection="1" pivotButton="0" quotePrefix="0" xfId="0">
      <alignment horizontal="justify" vertical="center" wrapText="1"/>
      <protection locked="0" hidden="0"/>
    </xf>
    <xf numFmtId="14" fontId="11" fillId="5" borderId="1" applyAlignment="1" applyProtection="1" pivotButton="0" quotePrefix="0" xfId="0">
      <alignment horizontal="justify" vertical="center" wrapText="1"/>
      <protection locked="0" hidden="0"/>
    </xf>
    <xf numFmtId="14" fontId="11" fillId="5" borderId="3" applyAlignment="1" applyProtection="1" pivotButton="0" quotePrefix="0" xfId="0">
      <alignment horizontal="justify" vertical="center" wrapText="1"/>
      <protection locked="0" hidden="0"/>
    </xf>
    <xf numFmtId="14" fontId="11" fillId="5" borderId="2" applyAlignment="1" applyProtection="1" pivotButton="0" quotePrefix="0" xfId="0">
      <alignment horizontal="justify" vertical="center" wrapText="1"/>
      <protection locked="0" hidden="0"/>
    </xf>
    <xf numFmtId="0" fontId="23" fillId="4" borderId="0" applyAlignment="1" pivotButton="0" quotePrefix="0" xfId="0">
      <alignment horizontal="justify" vertical="center" wrapText="1"/>
    </xf>
    <xf numFmtId="0" fontId="11" fillId="0" borderId="0" applyAlignment="1" pivotButton="0" quotePrefix="0" xfId="0">
      <alignment horizontal="justify" vertical="center" wrapText="1"/>
    </xf>
    <xf numFmtId="0" fontId="11" fillId="0" borderId="0" applyAlignment="1" applyProtection="1" pivotButton="0" quotePrefix="0" xfId="0">
      <alignment horizontal="center" vertical="center" wrapText="1"/>
      <protection locked="0" hidden="0"/>
    </xf>
    <xf numFmtId="0" fontId="11" fillId="4" borderId="10" applyAlignment="1" applyProtection="1" pivotButton="0" quotePrefix="0" xfId="0">
      <alignment horizontal="justify" vertical="center" wrapText="1"/>
      <protection locked="0" hidden="0"/>
    </xf>
    <xf numFmtId="0" fontId="12" fillId="0" borderId="0" applyAlignment="1" pivotButton="0" quotePrefix="0" xfId="0">
      <alignment horizontal="left" vertical="center" wrapText="1"/>
    </xf>
    <xf numFmtId="0" fontId="12" fillId="0" borderId="8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0" fontId="14" fillId="0" borderId="8" applyAlignment="1" pivotButton="0" quotePrefix="0" xfId="0">
      <alignment horizontal="left" vertical="center" wrapText="1"/>
    </xf>
    <xf numFmtId="0" fontId="11" fillId="4" borderId="10" applyAlignment="1" applyProtection="1" pivotButton="0" quotePrefix="0" xfId="0">
      <alignment horizontal="center" vertical="center" wrapText="1"/>
      <protection locked="0" hidden="0"/>
    </xf>
    <xf numFmtId="0" fontId="11" fillId="0" borderId="0" applyAlignment="1" pivotButton="0" quotePrefix="0" xfId="0">
      <alignment horizontal="center" vertical="center" wrapText="1"/>
    </xf>
    <xf numFmtId="0" fontId="11" fillId="0" borderId="8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right" vertical="center" wrapText="1"/>
    </xf>
    <xf numFmtId="14" fontId="12" fillId="4" borderId="5" applyAlignment="1" pivotButton="0" quotePrefix="0" xfId="0">
      <alignment horizontal="left" vertical="center" wrapText="1"/>
    </xf>
    <xf numFmtId="14" fontId="12" fillId="4" borderId="6" applyAlignment="1" pivotButton="0" quotePrefix="0" xfId="0">
      <alignment horizontal="left" vertical="center" wrapText="1"/>
    </xf>
    <xf numFmtId="14" fontId="12" fillId="4" borderId="0" applyAlignment="1" pivotButton="0" quotePrefix="0" xfId="0">
      <alignment horizontal="left" vertical="center" wrapText="1"/>
    </xf>
    <xf numFmtId="14" fontId="12" fillId="4" borderId="8" applyAlignment="1" pivotButton="0" quotePrefix="0" xfId="0">
      <alignment horizontal="left" vertical="center" wrapText="1"/>
    </xf>
    <xf numFmtId="0" fontId="12" fillId="0" borderId="8" applyAlignment="1" pivotButton="0" quotePrefix="0" xfId="0">
      <alignment horizontal="justify" vertical="center" wrapText="1"/>
    </xf>
    <xf numFmtId="0" fontId="12" fillId="0" borderId="7" applyAlignment="1" pivotButton="0" quotePrefix="0" xfId="0">
      <alignment horizontal="right" vertical="center" wrapText="1"/>
    </xf>
    <xf numFmtId="0" fontId="11" fillId="4" borderId="0" applyAlignment="1" applyProtection="1" pivotButton="0" quotePrefix="0" xfId="0">
      <alignment horizontal="left" vertical="center" wrapText="1"/>
      <protection locked="0" hidden="0"/>
    </xf>
    <xf numFmtId="0" fontId="11" fillId="0" borderId="0" applyAlignment="1" applyProtection="1" pivotButton="0" quotePrefix="0" xfId="0">
      <alignment horizontal="left" vertical="center" wrapText="1"/>
      <protection locked="0" hidden="0"/>
    </xf>
    <xf numFmtId="0" fontId="11" fillId="0" borderId="8" applyAlignment="1" applyProtection="1" pivotButton="0" quotePrefix="0" xfId="0">
      <alignment horizontal="left" vertical="center" wrapText="1"/>
      <protection locked="0" hidden="0"/>
    </xf>
    <xf numFmtId="0" fontId="11" fillId="0" borderId="4" applyAlignment="1" pivotButton="0" quotePrefix="0" xfId="0">
      <alignment horizontal="right" vertical="center" wrapText="1"/>
    </xf>
    <xf numFmtId="0" fontId="11" fillId="0" borderId="5" applyAlignment="1" pivotButton="0" quotePrefix="0" xfId="0">
      <alignment horizontal="right" vertical="center" wrapText="1"/>
    </xf>
    <xf numFmtId="0" fontId="14" fillId="0" borderId="7" applyAlignment="1" pivotButton="0" quotePrefix="0" xfId="0">
      <alignment horizontal="right" vertical="center" wrapText="1"/>
    </xf>
    <xf numFmtId="0" fontId="14" fillId="0" borderId="0" applyAlignment="1" pivotButton="0" quotePrefix="0" xfId="0">
      <alignment horizontal="right" vertical="center" wrapText="1"/>
    </xf>
    <xf numFmtId="0" fontId="11" fillId="4" borderId="5" applyAlignment="1" pivotButton="0" quotePrefix="0" xfId="0">
      <alignment horizontal="left" vertical="center" wrapText="1"/>
    </xf>
    <xf numFmtId="0" fontId="11" fillId="4" borderId="10" applyAlignment="1" pivotButton="0" quotePrefix="0" xfId="0">
      <alignment horizontal="left" vertical="center" wrapText="1"/>
    </xf>
    <xf numFmtId="0" fontId="8" fillId="0" borderId="5" applyAlignment="1" pivotButton="0" quotePrefix="0" xfId="0">
      <alignment horizontal="left" vertical="center" wrapText="1"/>
    </xf>
    <xf numFmtId="0" fontId="8" fillId="0" borderId="0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left" vertical="center" wrapText="1"/>
    </xf>
    <xf numFmtId="0" fontId="12" fillId="0" borderId="0" applyAlignment="1" pivotButton="0" quotePrefix="0" xfId="0">
      <alignment horizontal="left" vertical="center" wrapText="1"/>
    </xf>
    <xf numFmtId="0" fontId="25" fillId="0" borderId="5" applyAlignment="1" pivotButton="0" quotePrefix="0" xfId="0">
      <alignment horizontal="justify" vertical="center" wrapText="1"/>
    </xf>
    <xf numFmtId="0" fontId="25" fillId="0" borderId="0" applyAlignment="1" pivotButton="0" quotePrefix="0" xfId="0">
      <alignment horizontal="justify" vertical="center" wrapText="1"/>
    </xf>
    <xf numFmtId="0" fontId="25" fillId="0" borderId="6" applyAlignment="1" pivotButton="0" quotePrefix="0" xfId="0">
      <alignment horizontal="justify" vertical="center" wrapText="1"/>
    </xf>
    <xf numFmtId="0" fontId="25" fillId="0" borderId="8" applyAlignment="1" pivotButton="0" quotePrefix="0" xfId="0">
      <alignment horizontal="justify" vertical="center" wrapText="1"/>
    </xf>
    <xf numFmtId="14" fontId="18" fillId="5" borderId="10" applyAlignment="1" applyProtection="1" pivotButton="0" quotePrefix="0" xfId="0">
      <alignment horizontal="center" vertical="center" wrapText="1"/>
      <protection locked="0" hidden="0"/>
    </xf>
    <xf numFmtId="14" fontId="11" fillId="0" borderId="1" applyAlignment="1" applyProtection="1" pivotButton="0" quotePrefix="0" xfId="0">
      <alignment horizontal="justify" vertical="center" wrapText="1"/>
      <protection locked="0" hidden="0"/>
    </xf>
    <xf numFmtId="14" fontId="11" fillId="0" borderId="3" applyAlignment="1" applyProtection="1" pivotButton="0" quotePrefix="0" xfId="0">
      <alignment horizontal="justify" vertical="center" wrapText="1"/>
      <protection locked="0" hidden="0"/>
    </xf>
    <xf numFmtId="14" fontId="11" fillId="0" borderId="2" applyAlignment="1" applyProtection="1" pivotButton="0" quotePrefix="0" xfId="0">
      <alignment horizontal="justify" vertical="center" wrapText="1"/>
      <protection locked="0" hidden="0"/>
    </xf>
    <xf numFmtId="0" fontId="11" fillId="0" borderId="0" applyAlignment="1" pivotButton="0" quotePrefix="0" xfId="0">
      <alignment horizontal="left" vertical="center" wrapText="1"/>
    </xf>
    <xf numFmtId="0" fontId="11" fillId="0" borderId="8" applyAlignment="1" pivotButton="0" quotePrefix="0" xfId="0">
      <alignment horizontal="left" vertical="center" wrapText="1"/>
    </xf>
    <xf numFmtId="0" fontId="19" fillId="4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pivotButton="0" quotePrefix="0" xfId="0">
      <alignment horizontal="justify" vertical="center" wrapText="1"/>
    </xf>
    <xf numFmtId="0" fontId="18" fillId="0" borderId="10" applyAlignment="1" applyProtection="1" pivotButton="0" quotePrefix="0" xfId="0">
      <alignment horizontal="center" vertical="center" wrapText="1"/>
      <protection locked="0" hidden="0"/>
    </xf>
    <xf numFmtId="0" fontId="8" fillId="4" borderId="10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pivotButton="0" quotePrefix="0" xfId="0">
      <alignment horizontal="left" vertical="center" wrapText="1"/>
    </xf>
    <xf numFmtId="0" fontId="8" fillId="0" borderId="8" applyAlignment="1" pivotButton="0" quotePrefix="0" xfId="0">
      <alignment horizontal="left" vertical="center" wrapText="1"/>
    </xf>
    <xf numFmtId="0" fontId="12" fillId="0" borderId="7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12" fillId="0" borderId="8" applyAlignment="1" pivotButton="0" quotePrefix="0" xfId="0">
      <alignment horizontal="center" vertical="center" wrapText="1"/>
    </xf>
    <xf numFmtId="0" fontId="12" fillId="0" borderId="0" applyAlignment="1" pivotButton="0" quotePrefix="0" xfId="0">
      <alignment horizontal="center" vertical="center" wrapText="1"/>
    </xf>
    <xf numFmtId="0" fontId="27" fillId="0" borderId="7" applyAlignment="1" applyProtection="1" pivotButton="0" quotePrefix="0" xfId="0">
      <alignment horizontal="left" vertical="center" wrapText="1"/>
      <protection locked="0" hidden="0"/>
    </xf>
    <xf numFmtId="0" fontId="27" fillId="0" borderId="0" applyAlignment="1" applyProtection="1" pivotButton="0" quotePrefix="0" xfId="0">
      <alignment horizontal="left" vertical="center" wrapText="1"/>
      <protection locked="0" hidden="0"/>
    </xf>
    <xf numFmtId="0" fontId="27" fillId="0" borderId="8" applyAlignment="1" applyProtection="1" pivotButton="0" quotePrefix="0" xfId="0">
      <alignment horizontal="left" vertical="center" wrapText="1"/>
      <protection locked="0" hidden="0"/>
    </xf>
    <xf numFmtId="0" fontId="27" fillId="0" borderId="0" applyAlignment="1" applyProtection="1" pivotButton="0" quotePrefix="0" xfId="0">
      <alignment horizontal="left" vertical="center" wrapText="1"/>
      <protection locked="0" hidden="0"/>
    </xf>
    <xf numFmtId="0" fontId="8" fillId="0" borderId="7" applyAlignment="1" pivotButton="0" quotePrefix="0" xfId="0">
      <alignment horizontal="left" vertical="center" wrapText="1"/>
    </xf>
    <xf numFmtId="0" fontId="11" fillId="4" borderId="0" applyAlignment="1" applyProtection="1" pivotButton="0" quotePrefix="0" xfId="0">
      <alignment horizontal="left" vertical="center" wrapText="1"/>
      <protection locked="0" hidden="0"/>
    </xf>
    <xf numFmtId="0" fontId="11" fillId="4" borderId="10" applyAlignment="1" applyProtection="1" pivotButton="0" quotePrefix="0" xfId="0">
      <alignment horizontal="left" vertical="center" wrapText="1"/>
      <protection locked="0" hidden="0"/>
    </xf>
    <xf numFmtId="0" fontId="8" fillId="0" borderId="9" applyAlignment="1" pivotButton="0" quotePrefix="0" xfId="0">
      <alignment horizontal="center" vertical="center" wrapText="1"/>
    </xf>
    <xf numFmtId="0" fontId="8" fillId="0" borderId="10" applyAlignment="1" pivotButton="0" quotePrefix="0" xfId="0">
      <alignment horizontal="center" vertical="center" wrapText="1"/>
    </xf>
    <xf numFmtId="0" fontId="8" fillId="0" borderId="11" applyAlignment="1" pivotButton="0" quotePrefix="0" xfId="0">
      <alignment horizontal="center" vertical="center" wrapText="1"/>
    </xf>
    <xf numFmtId="0" fontId="8" fillId="0" borderId="10" applyAlignment="1" pivotButton="0" quotePrefix="0" xfId="0">
      <alignment horizontal="center" vertical="center" wrapText="1"/>
    </xf>
    <xf numFmtId="0" fontId="8" fillId="0" borderId="7" applyAlignment="1" pivotButton="0" quotePrefix="0" xfId="0">
      <alignment vertical="center" wrapText="1"/>
    </xf>
    <xf numFmtId="0" fontId="8" fillId="0" borderId="0" applyAlignment="1" pivotButton="0" quotePrefix="0" xfId="0">
      <alignment vertical="center" wrapText="1"/>
    </xf>
    <xf numFmtId="0" fontId="20" fillId="0" borderId="3" applyAlignment="1" applyProtection="1" pivotButton="0" quotePrefix="0" xfId="0">
      <alignment horizontal="left" vertical="center" wrapText="1"/>
      <protection locked="0" hidden="0"/>
    </xf>
    <xf numFmtId="0" fontId="20" fillId="0" borderId="2" applyAlignment="1" applyProtection="1" pivotButton="0" quotePrefix="0" xfId="0">
      <alignment horizontal="left" vertical="center" wrapText="1"/>
      <protection locked="0" hidden="0"/>
    </xf>
    <xf numFmtId="0" fontId="12" fillId="4" borderId="7" applyAlignment="1" pivotButton="0" quotePrefix="0" xfId="0">
      <alignment horizontal="left" wrapText="1"/>
    </xf>
    <xf numFmtId="0" fontId="25" fillId="4" borderId="0" applyAlignment="1" pivotButton="0" quotePrefix="0" xfId="0">
      <alignment horizontal="left" wrapText="1"/>
    </xf>
    <xf numFmtId="0" fontId="12" fillId="4" borderId="0" applyAlignment="1" pivotButton="0" quotePrefix="0" xfId="0">
      <alignment horizontal="left" wrapText="1"/>
    </xf>
    <xf numFmtId="0" fontId="25" fillId="4" borderId="0" applyAlignment="1" pivotButton="0" quotePrefix="0" xfId="0">
      <alignment horizontal="left" wrapText="1"/>
    </xf>
    <xf numFmtId="0" fontId="25" fillId="4" borderId="8" applyAlignment="1" pivotButton="0" quotePrefix="0" xfId="0">
      <alignment horizontal="left" wrapText="1"/>
    </xf>
    <xf numFmtId="0" fontId="11" fillId="0" borderId="10" applyAlignment="1" applyProtection="1" pivotButton="0" quotePrefix="0" xfId="0">
      <alignment horizontal="center" vertical="center" wrapText="1"/>
      <protection locked="0" hidden="0"/>
    </xf>
    <xf numFmtId="0" fontId="19" fillId="0" borderId="10" applyAlignment="1" applyProtection="1" pivotButton="0" quotePrefix="0" xfId="0">
      <alignment horizontal="center" vertical="center" wrapText="1"/>
      <protection locked="0" hidden="0"/>
    </xf>
    <xf numFmtId="0" fontId="12" fillId="0" borderId="4" applyAlignment="1" pivotButton="0" quotePrefix="0" xfId="0">
      <alignment horizontal="left" vertical="center" wrapText="1"/>
    </xf>
    <xf numFmtId="0" fontId="12" fillId="0" borderId="5" applyAlignment="1" pivotButton="0" quotePrefix="0" xfId="0">
      <alignment horizontal="left" vertical="center" wrapText="1"/>
    </xf>
    <xf numFmtId="0" fontId="12" fillId="0" borderId="6" applyAlignment="1" pivotButton="0" quotePrefix="0" xfId="0">
      <alignment horizontal="left" vertical="center" wrapText="1"/>
    </xf>
    <xf numFmtId="0" fontId="11" fillId="0" borderId="7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left" vertical="center" wrapText="1"/>
    </xf>
    <xf numFmtId="0" fontId="18" fillId="0" borderId="0" applyAlignment="1" applyProtection="1" pivotButton="0" quotePrefix="0" xfId="0">
      <alignment horizontal="center" vertical="center" wrapText="1"/>
      <protection locked="0" hidden="0"/>
    </xf>
    <xf numFmtId="0" fontId="11" fillId="0" borderId="7" applyAlignment="1" pivotButton="0" quotePrefix="0" xfId="0">
      <alignment horizontal="right" vertical="center" wrapText="1"/>
    </xf>
    <xf numFmtId="0" fontId="11" fillId="0" borderId="0" applyAlignment="1" pivotButton="0" quotePrefix="0" xfId="0">
      <alignment horizontal="right" vertical="center" wrapText="1"/>
    </xf>
    <xf numFmtId="0" fontId="11" fillId="0" borderId="5" applyAlignment="1" applyProtection="1" pivotButton="0" quotePrefix="0" xfId="0">
      <alignment horizontal="left" vertical="center" wrapText="1"/>
      <protection locked="0" hidden="0"/>
    </xf>
    <xf numFmtId="14" fontId="18" fillId="5" borderId="0" applyAlignment="1" applyProtection="1" pivotButton="0" quotePrefix="0" xfId="0">
      <alignment horizontal="center" vertical="center" wrapText="1"/>
      <protection locked="0" hidden="0"/>
    </xf>
    <xf numFmtId="0" fontId="9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 vertical="center"/>
    </xf>
    <xf numFmtId="0" fontId="9" fillId="0" borderId="12" applyAlignment="1" pivotButton="0" quotePrefix="0" xfId="0">
      <alignment horizontal="left" vertical="center"/>
    </xf>
    <xf numFmtId="0" fontId="0" fillId="0" borderId="13" applyAlignment="1" pivotButton="0" quotePrefix="0" xfId="0">
      <alignment horizontal="center"/>
    </xf>
    <xf numFmtId="0" fontId="10" fillId="0" borderId="0" applyAlignment="1" pivotButton="0" quotePrefix="0" xfId="0">
      <alignment horizontal="right" vertical="center" wrapText="1"/>
    </xf>
    <xf numFmtId="0" fontId="10" fillId="0" borderId="12" applyAlignment="1" pivotButton="0" quotePrefix="0" xfId="0">
      <alignment horizontal="right" vertical="center" wrapText="1"/>
    </xf>
    <xf numFmtId="0" fontId="10" fillId="0" borderId="12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right"/>
    </xf>
    <xf numFmtId="0" fontId="0" fillId="0" borderId="12" applyAlignment="1" pivotButton="0" quotePrefix="0" xfId="0">
      <alignment horizontal="right"/>
    </xf>
    <xf numFmtId="0" fontId="0" fillId="0" borderId="10" pivotButton="0" quotePrefix="0" xfId="0"/>
    <xf numFmtId="0" fontId="30" fillId="0" borderId="3" applyAlignment="1" pivotButton="0" quotePrefix="0" xfId="0">
      <alignment horizontal="right" vertical="center" wrapText="1"/>
    </xf>
    <xf numFmtId="0" fontId="0" fillId="0" borderId="5" pivotButton="0" quotePrefix="0" xfId="0"/>
    <xf numFmtId="0" fontId="0" fillId="0" borderId="27" pivotButton="0" quotePrefix="0" xfId="0"/>
    <xf numFmtId="0" fontId="0" fillId="0" borderId="26" pivotButton="0" quotePrefix="0" xfId="0"/>
    <xf numFmtId="0" fontId="33" fillId="0" borderId="45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43" pivotButton="0" quotePrefix="0" xfId="0"/>
    <xf numFmtId="0" fontId="0" fillId="0" borderId="29" pivotButton="0" quotePrefix="0" xfId="0"/>
    <xf numFmtId="0" fontId="0" fillId="0" borderId="44" pivotButton="0" quotePrefix="0" xfId="0"/>
    <xf numFmtId="0" fontId="37" fillId="0" borderId="34" applyAlignment="1" pivotButton="0" quotePrefix="0" xfId="0">
      <alignment horizontal="center" vertical="center" wrapText="1"/>
    </xf>
    <xf numFmtId="0" fontId="0" fillId="0" borderId="40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33" pivotButton="0" quotePrefix="0" xfId="0"/>
    <xf numFmtId="0" fontId="0" fillId="0" borderId="42" pivotButton="0" quotePrefix="0" xfId="0"/>
    <xf numFmtId="0" fontId="0" fillId="0" borderId="30" pivotButton="0" quotePrefix="0" xfId="0"/>
    <xf numFmtId="0" fontId="0" fillId="0" borderId="17" pivotButton="0" quotePrefix="0" xfId="0"/>
    <xf numFmtId="0" fontId="2" fillId="0" borderId="47" applyAlignment="1" pivotButton="0" quotePrefix="0" xfId="0">
      <alignment vertical="center" wrapText="1"/>
    </xf>
    <xf numFmtId="0" fontId="5" fillId="0" borderId="50" applyAlignment="1" pivotButton="0" quotePrefix="0" xfId="0">
      <alignment vertical="center" wrapText="1"/>
    </xf>
    <xf numFmtId="0" fontId="6" fillId="0" borderId="15" applyAlignment="1" pivotButton="0" quotePrefix="0" xfId="0">
      <alignment vertical="center" wrapText="1"/>
    </xf>
    <xf numFmtId="0" fontId="0" fillId="0" borderId="14" pivotButton="0" quotePrefix="0" xfId="0"/>
    <xf numFmtId="0" fontId="0" fillId="0" borderId="19" pivotButton="0" quotePrefix="0" xfId="0"/>
    <xf numFmtId="0" fontId="0" fillId="0" borderId="15" pivotButton="0" quotePrefix="0" xfId="0"/>
    <xf numFmtId="0" fontId="2" fillId="0" borderId="46" applyAlignment="1" pivotButton="0" quotePrefix="0" xfId="0">
      <alignment vertical="center" wrapText="1"/>
    </xf>
    <xf numFmtId="0" fontId="0" fillId="0" borderId="3" pivotButton="0" quotePrefix="0" xfId="0"/>
    <xf numFmtId="0" fontId="0" fillId="0" borderId="2" pivotButton="0" quotePrefix="0" xfId="0"/>
    <xf numFmtId="0" fontId="5" fillId="0" borderId="2" applyAlignment="1" pivotButton="0" quotePrefix="0" xfId="0">
      <alignment horizontal="left" vertical="center" wrapText="1"/>
    </xf>
    <xf numFmtId="0" fontId="0" fillId="0" borderId="6" pivotButton="0" quotePrefix="0" xfId="0"/>
    <xf numFmtId="0" fontId="5" fillId="0" borderId="1" applyAlignment="1" pivotButton="0" quotePrefix="0" xfId="0">
      <alignment horizontal="right" vertical="center" wrapText="1"/>
    </xf>
    <xf numFmtId="14" fontId="5" fillId="0" borderId="2" applyAlignment="1" pivotButton="0" quotePrefix="0" xfId="0">
      <alignment horizontal="left" vertical="center" wrapText="1"/>
    </xf>
    <xf numFmtId="0" fontId="2" fillId="0" borderId="2" applyAlignment="1" pivotButton="0" quotePrefix="0" xfId="0">
      <alignment horizontal="right" vertical="center" wrapText="1"/>
    </xf>
    <xf numFmtId="0" fontId="0" fillId="0" borderId="11" pivotButton="0" quotePrefix="0" xfId="0"/>
    <xf numFmtId="0" fontId="0" fillId="0" borderId="9" pivotButton="0" quotePrefix="0" xfId="0"/>
    <xf numFmtId="0" fontId="0" fillId="0" borderId="12" pivotButton="0" quotePrefix="0" xfId="0"/>
    <xf numFmtId="0" fontId="0" fillId="0" borderId="13" pivotButton="0" quotePrefix="0" xfId="0"/>
    <xf numFmtId="0" fontId="11" fillId="4" borderId="3" applyAlignment="1" pivotButton="0" quotePrefix="0" xfId="0">
      <alignment horizontal="left" vertical="center" wrapText="1"/>
    </xf>
    <xf numFmtId="0" fontId="0" fillId="0" borderId="8" pivotButton="0" quotePrefix="0" xfId="0"/>
    <xf numFmtId="0" fontId="12" fillId="0" borderId="54" applyAlignment="1" pivotButton="0" quotePrefix="0" xfId="0">
      <alignment horizontal="justify" vertical="center" wrapText="1"/>
    </xf>
    <xf numFmtId="0" fontId="0" fillId="0" borderId="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7" pivotButton="0" quotePrefix="0" xfId="0"/>
    <xf numFmtId="0" fontId="0" fillId="0" borderId="10" applyProtection="1" pivotButton="0" quotePrefix="0" xfId="0">
      <protection locked="0" hidden="0"/>
    </xf>
    <xf numFmtId="0" fontId="11" fillId="0" borderId="54" applyAlignment="1" pivotButton="0" quotePrefix="0" xfId="0">
      <alignment horizontal="justify" vertical="center" wrapText="1"/>
    </xf>
    <xf numFmtId="0" fontId="24" fillId="0" borderId="52" applyAlignment="1" pivotButton="0" quotePrefix="0" xfId="0">
      <alignment horizontal="justify" vertical="center" wrapText="1"/>
    </xf>
    <xf numFmtId="0" fontId="12" fillId="0" borderId="53" applyAlignment="1" pivotButton="0" quotePrefix="0" xfId="0">
      <alignment horizontal="justify" vertical="center" wrapText="1"/>
    </xf>
    <xf numFmtId="0" fontId="11" fillId="0" borderId="52" applyAlignment="1" pivotButton="0" quotePrefix="0" xfId="0">
      <alignment horizontal="justify" vertical="center" wrapText="1"/>
    </xf>
    <xf numFmtId="0" fontId="11" fillId="5" borderId="46" applyAlignment="1" applyProtection="1" pivotButton="0" quotePrefix="0" xfId="0">
      <alignment horizontal="justify" vertical="center" wrapText="1"/>
      <protection locked="0" hidden="0"/>
    </xf>
    <xf numFmtId="0" fontId="0" fillId="0" borderId="3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14" fontId="11" fillId="5" borderId="46" applyAlignment="1" applyProtection="1" pivotButton="0" quotePrefix="0" xfId="0">
      <alignment horizontal="justify" vertical="center" wrapText="1"/>
      <protection locked="0" hidden="0"/>
    </xf>
    <xf numFmtId="0" fontId="11" fillId="0" borderId="46" applyAlignment="1" applyProtection="1" pivotButton="0" quotePrefix="0" xfId="0">
      <alignment horizontal="justify" vertical="center" wrapText="1"/>
      <protection locked="0" hidden="0"/>
    </xf>
    <xf numFmtId="14" fontId="11" fillId="0" borderId="46" applyAlignment="1" applyProtection="1" pivotButton="0" quotePrefix="0" xfId="0">
      <alignment horizontal="justify" vertical="center" wrapText="1"/>
      <protection locked="0" hidden="0"/>
    </xf>
    <xf numFmtId="0" fontId="12" fillId="0" borderId="54" applyAlignment="1" pivotButton="0" quotePrefix="0" xfId="0">
      <alignment horizontal="left" vertical="center" wrapText="1"/>
    </xf>
    <xf numFmtId="0" fontId="0" fillId="0" borderId="5" applyProtection="1" pivotButton="0" quotePrefix="0" xfId="0">
      <protection locked="0" hidden="0"/>
    </xf>
    <xf numFmtId="0" fontId="8" fillId="0" borderId="52" applyAlignment="1" pivotButton="0" quotePrefix="0" xfId="0">
      <alignment horizontal="center" vertical="center" wrapText="1"/>
    </xf>
    <xf numFmtId="0" fontId="12" fillId="0" borderId="54" applyAlignment="1" pivotButton="0" quotePrefix="0" xfId="0">
      <alignment horizontal="center" vertical="center" wrapText="1"/>
    </xf>
    <xf numFmtId="0" fontId="27" fillId="0" borderId="54" applyAlignment="1" applyProtection="1" pivotButton="0" quotePrefix="0" xfId="0">
      <alignment horizontal="left" vertical="center" wrapText="1"/>
      <protection locked="0" hidden="0"/>
    </xf>
    <xf numFmtId="0" fontId="12" fillId="4" borderId="8" applyAlignment="1" pivotButton="0" quotePrefix="0" xfId="0">
      <alignment horizontal="left" wrapText="1"/>
    </xf>
    <xf numFmtId="0" fontId="12" fillId="0" borderId="53" applyAlignment="1" pivotButton="0" quotePrefix="0" xfId="0">
      <alignment horizontal="left" vertical="center" wrapText="1"/>
    </xf>
    <xf numFmtId="0" fontId="11" fillId="0" borderId="54" applyAlignment="1" pivotButton="0" quotePrefix="0" xfId="0">
      <alignment horizontal="left" vertical="center" wrapText="1"/>
    </xf>
  </cellXfs>
  <cellStyles count="1">
    <cellStyle name="Normal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CheckBox" fmlaLink="$M$11" lockText="1" noThreeD="1"/>
</file>

<file path=xl/ctrlProps/ctrlProp2.xml><?xml version="1.0" encoding="utf-8"?>
<formControlPr xmlns="http://schemas.microsoft.com/office/spreadsheetml/2009/9/main" objectType="CheckBox" fmlaLink="$M$12" lockText="1" noThreeD="1"/>
</file>

<file path=xl/ctrlProps/ctrlProp3.xml><?xml version="1.0" encoding="utf-8"?>
<formControlPr xmlns="http://schemas.microsoft.com/office/spreadsheetml/2009/9/main" objectType="CheckBox" fmlaLink="$M$13" lockText="1" noThreeD="1"/>
</file>

<file path=xl/ctrlProps/ctrlProp4.xml><?xml version="1.0" encoding="utf-8"?>
<formControlPr xmlns="http://schemas.microsoft.com/office/spreadsheetml/2009/9/main" objectType="CheckBox" fmlaLink="$M$14" lockText="1" noThreeD="1"/>
</file>

<file path=xl/ctrlProps/ctrlProp5.xml><?xml version="1.0" encoding="utf-8"?>
<formControlPr xmlns="http://schemas.microsoft.com/office/spreadsheetml/2009/9/main" objectType="CheckBox" fmlaLink="$M$15" lockText="1" noThreeD="1"/>
</file>

<file path=xl/ctrlProps/ctrlProp6.xml><?xml version="1.0" encoding="utf-8"?>
<formControlPr xmlns="http://schemas.microsoft.com/office/spreadsheetml/2009/9/main" objectType="CheckBox" fmlaLink="$M$16" lockText="1" noThreeD="1"/>
</file>

<file path=xl/ctrlProps/ctrlProp7.xml><?xml version="1.0" encoding="utf-8"?>
<formControlPr xmlns="http://schemas.microsoft.com/office/spreadsheetml/2009/9/main" objectType="CheckBox" fmlaLink="$M$17" lockText="1" noThreeD="1"/>
</file>

<file path=xl/ctrlProps/ctrlProp8.xml><?xml version="1.0" encoding="utf-8"?>
<formControlPr xmlns="http://schemas.microsoft.com/office/spreadsheetml/2009/9/main" objectType="CheckBox" fmlaLink="$M$18" lockText="1" noThreeD="1"/>
</file>

<file path=xl/ctrlProps/ctrlProp9.xml><?xml version="1.0" encoding="utf-8"?>
<formControlPr xmlns="http://schemas.microsoft.com/office/spreadsheetml/2009/9/main" objectType="CheckBox" fmlaLink="$N$11" lockText="1" noThreeD="1"/>
</file>

<file path=xl/ctrlProps/ctrlProp10.xml><?xml version="1.0" encoding="utf-8"?>
<formControlPr xmlns="http://schemas.microsoft.com/office/spreadsheetml/2009/9/main" objectType="CheckBox" fmlaLink="$N$12" lockText="1" noThreeD="1"/>
</file>

<file path=xl/ctrlProps/ctrlProp11.xml><?xml version="1.0" encoding="utf-8"?>
<formControlPr xmlns="http://schemas.microsoft.com/office/spreadsheetml/2009/9/main" objectType="CheckBox" fmlaLink="$N$13" lockText="1" noThreeD="1"/>
</file>

<file path=xl/ctrlProps/ctrlProp12.xml><?xml version="1.0" encoding="utf-8"?>
<formControlPr xmlns="http://schemas.microsoft.com/office/spreadsheetml/2009/9/main" objectType="CheckBox" fmlaLink="$N$14" lockText="1" noThreeD="1"/>
</file>

<file path=xl/ctrlProps/ctrlProp13.xml><?xml version="1.0" encoding="utf-8"?>
<formControlPr xmlns="http://schemas.microsoft.com/office/spreadsheetml/2009/9/main" objectType="CheckBox" fmlaLink="$N$15" lockText="1" noThreeD="1"/>
</file>

<file path=xl/ctrlProps/ctrlProp14.xml><?xml version="1.0" encoding="utf-8"?>
<formControlPr xmlns="http://schemas.microsoft.com/office/spreadsheetml/2009/9/main" objectType="CheckBox" fmlaLink="$N$16" lockText="1" noThreeD="1"/>
</file>

<file path=xl/ctrlProps/ctrlProp15.xml><?xml version="1.0" encoding="utf-8"?>
<formControlPr xmlns="http://schemas.microsoft.com/office/spreadsheetml/2009/9/main" objectType="CheckBox" fmlaLink="$N$17" lockText="1" noThreeD="1"/>
</file>

<file path=xl/ctrlProps/ctrlProp16.xml><?xml version="1.0" encoding="utf-8"?>
<formControlPr xmlns="http://schemas.microsoft.com/office/spreadsheetml/2009/9/main" objectType="CheckBox" fmlaLink="$N$18" lockText="1" noThreeD="1"/>
</file>

<file path=xl/ctrlProps/ctrlProp17.xml><?xml version="1.0" encoding="utf-8"?>
<formControlPr xmlns="http://schemas.microsoft.com/office/spreadsheetml/2009/9/main" objectType="CheckBox" fmlaLink="$O$11" lockText="1" noThreeD="1"/>
</file>

<file path=xl/ctrlProps/ctrlProp18.xml><?xml version="1.0" encoding="utf-8"?>
<formControlPr xmlns="http://schemas.microsoft.com/office/spreadsheetml/2009/9/main" objectType="CheckBox" fmlaLink="$O$12" lockText="1" noThreeD="1"/>
</file>

<file path=xl/ctrlProps/ctrlProp19.xml><?xml version="1.0" encoding="utf-8"?>
<formControlPr xmlns="http://schemas.microsoft.com/office/spreadsheetml/2009/9/main" objectType="CheckBox" fmlaLink="$O$13" lockText="1" noThreeD="1"/>
</file>

<file path=xl/ctrlProps/ctrlProp20.xml><?xml version="1.0" encoding="utf-8"?>
<formControlPr xmlns="http://schemas.microsoft.com/office/spreadsheetml/2009/9/main" objectType="CheckBox" fmlaLink="$O$14" lockText="1" noThreeD="1"/>
</file>

<file path=xl/ctrlProps/ctrlProp21.xml><?xml version="1.0" encoding="utf-8"?>
<formControlPr xmlns="http://schemas.microsoft.com/office/spreadsheetml/2009/9/main" objectType="CheckBox" fmlaLink="$O$15" lockText="1" noThreeD="1"/>
</file>

<file path=xl/ctrlProps/ctrlProp22.xml><?xml version="1.0" encoding="utf-8"?>
<formControlPr xmlns="http://schemas.microsoft.com/office/spreadsheetml/2009/9/main" objectType="CheckBox" fmlaLink="$O$16" lockText="1" noThreeD="1"/>
</file>

<file path=xl/ctrlProps/ctrlProp23.xml><?xml version="1.0" encoding="utf-8"?>
<formControlPr xmlns="http://schemas.microsoft.com/office/spreadsheetml/2009/9/main" objectType="CheckBox" fmlaLink="$O$17" lockText="1" noThreeD="1"/>
</file>

<file path=xl/ctrlProps/ctrlProp24.xml><?xml version="1.0" encoding="utf-8"?>
<formControlPr xmlns="http://schemas.microsoft.com/office/spreadsheetml/2009/9/main" objectType="CheckBox" fmlaLink="$O$18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5.png" Id="rId1"/></Relationships>
</file>

<file path=xl/drawings/drawing1.xml><?xml version="1.0" encoding="utf-8"?>
<wsDr xmlns="http://schemas.openxmlformats.org/drawingml/2006/spreadsheetDrawing">
  <twoCellAnchor editAs="oneCell">
    <from>
      <col>1</col>
      <colOff>152400</colOff>
      <row>1</row>
      <rowOff>257175</rowOff>
    </from>
    <to>
      <col>1</col>
      <colOff>1044575</colOff>
      <row>1</row>
      <rowOff>703580</rowOff>
    </to>
    <pic>
      <nvPicPr>
        <cNvPr id="29" name="Grafik 752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619125"/>
          <a:ext cx="895985" cy="45021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922020</colOff>
      <row>27</row>
      <rowOff>167640</rowOff>
    </from>
    <to>
      <col>2</col>
      <colOff>236408</colOff>
      <row>29</row>
      <rowOff>17766</rowOff>
    </to>
    <pic>
      <nvPicPr>
        <cNvPr id="12" name="Graphique 1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0620" y="11018520"/>
          <a:ext cx="602168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731520</colOff>
      <row>27</row>
      <rowOff>198120</rowOff>
    </from>
    <to>
      <col>5</col>
      <colOff>1996</colOff>
      <row>29</row>
      <rowOff>48246</rowOff>
    </to>
    <pic>
      <nvPicPr>
        <cNvPr id="13" name="Graphique 2" hidden="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398520" y="11049000"/>
          <a:ext cx="611596" cy="60450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1</col>
      <colOff>257175</colOff>
      <row>2</row>
      <rowOff>171450</rowOff>
    </from>
    <to>
      <col>1</col>
      <colOff>1158875</colOff>
      <row>2</row>
      <rowOff>629920</rowOff>
    </to>
    <pic>
      <nvPicPr>
        <cNvPr id="10" name="Grafik 10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046884" y="531668"/>
          <a:ext cx="901700" cy="4584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130731</colOff>
      <row>0</row>
      <rowOff>154781</rowOff>
    </from>
    <to>
      <col>10</col>
      <colOff>15875</colOff>
      <row>5</row>
      <rowOff>15875</rowOff>
    </to>
    <pic>
      <nvPicPr>
        <cNvPr id="11" name="Grafik 13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60717" y="154781"/>
          <a:ext cx="1011815" cy="54145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A1"/>
  <sheetViews>
    <sheetView showGridLines="0" showRowColHeaders="0" workbookViewId="0">
      <selection activeCell="A1" sqref="A1"/>
    </sheetView>
  </sheetViews>
  <sheetFormatPr baseColWidth="10" defaultRowHeight="14.4"/>
  <sheetData/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euil6">
    <outlinePr summaryBelow="1" summaryRight="1"/>
    <pageSetUpPr fitToPage="1"/>
  </sheetPr>
  <dimension ref="A2:Q28"/>
  <sheetViews>
    <sheetView showGridLines="0" showRowColHeaders="0" topLeftCell="B1" zoomScale="70" zoomScaleNormal="70" workbookViewId="0">
      <selection activeCell="O5" sqref="O5"/>
    </sheetView>
  </sheetViews>
  <sheetFormatPr baseColWidth="10" defaultRowHeight="14.4"/>
  <cols>
    <col width="3.33203125" customWidth="1" style="13" min="1" max="1"/>
    <col width="18.77734375" customWidth="1" style="13" min="2" max="2"/>
    <col width="16.77734375" customWidth="1" style="13" min="3" max="4"/>
    <col width="2.77734375" customWidth="1" style="13" min="5" max="5"/>
    <col width="11.5546875" customWidth="1" style="13" min="6" max="6"/>
    <col width="9.21875" customWidth="1" style="13" min="7" max="7"/>
    <col width="1.77734375" customWidth="1" style="13" min="8" max="8"/>
    <col width="12.77734375" customWidth="1" style="13" min="9" max="10"/>
    <col width="10.77734375" customWidth="1" style="13" min="11" max="11"/>
    <col width="2.77734375" customWidth="1" style="13" min="12" max="12"/>
    <col width="13.6640625" customWidth="1" style="13" min="13" max="13"/>
  </cols>
  <sheetData>
    <row r="2" ht="60" customHeight="1" s="13">
      <c r="A2" s="65" t="n"/>
      <c r="C2" s="66" t="inlineStr">
        <is>
          <t>Checklist</t>
        </is>
      </c>
      <c r="K2" s="65" t="n"/>
    </row>
    <row r="3" ht="7.95" customHeight="1" s="13">
      <c r="A3" s="65" t="n"/>
    </row>
    <row r="4" ht="15" customHeight="1" s="13"/>
    <row r="5" ht="39" customHeight="1" s="13" thickBot="1">
      <c r="B5" s="33" t="inlineStr">
        <is>
          <t>BL N° :</t>
        </is>
      </c>
      <c r="C5" s="32" t="n"/>
      <c r="D5" s="231" t="n"/>
      <c r="E5" s="33" t="n"/>
      <c r="F5" s="33" t="inlineStr">
        <is>
          <t>Date :</t>
        </is>
      </c>
      <c r="H5" s="34" t="n">
        <v>44691</v>
      </c>
      <c r="I5" s="231" t="n"/>
      <c r="J5" s="231" t="n"/>
      <c r="K5" s="231" t="n"/>
      <c r="L5" s="33" t="n"/>
      <c r="O5">
        <f>YEAR(H5)&amp;"_"&amp;MONTH(H5)&amp;"_"&amp;DAY(H5)</f>
        <v/>
      </c>
    </row>
    <row r="6" ht="19.5" customHeight="1" s="13">
      <c r="B6" s="33" t="inlineStr">
        <is>
          <t>Transporteur :</t>
        </is>
      </c>
      <c r="C6" s="232" t="n"/>
      <c r="D6" s="233" t="n"/>
      <c r="E6" s="33" t="n"/>
      <c r="F6" s="33" t="inlineStr">
        <is>
          <t xml:space="preserve">Références : </t>
        </is>
      </c>
      <c r="H6" s="232" t="n"/>
      <c r="I6" s="233" t="n"/>
      <c r="J6" s="233" t="n"/>
      <c r="K6" s="233" t="n"/>
      <c r="L6" s="33" t="n"/>
    </row>
    <row r="7" ht="19.5" customHeight="1" s="13" thickBot="1">
      <c r="C7" s="231" t="n"/>
      <c r="D7" s="231" t="n"/>
      <c r="F7" s="36" t="inlineStr">
        <is>
          <t>PN/SN Si existe</t>
        </is>
      </c>
      <c r="H7" s="231" t="n"/>
      <c r="I7" s="231" t="n"/>
      <c r="J7" s="231" t="n"/>
      <c r="K7" s="231" t="n"/>
    </row>
    <row r="8" ht="15" customHeight="1" s="13" thickBot="1">
      <c r="B8" s="22" t="n"/>
      <c r="C8" s="37" t="n"/>
      <c r="D8" s="234" t="n"/>
      <c r="E8" s="22" t="n"/>
      <c r="F8" s="38" t="n"/>
      <c r="G8" s="235" t="n"/>
      <c r="H8" s="37" t="n"/>
      <c r="I8" s="234" t="n"/>
      <c r="J8" s="234" t="n"/>
      <c r="K8" s="234" t="n"/>
      <c r="L8" s="22" t="n"/>
    </row>
    <row r="9" ht="79.95" customHeight="1" s="13">
      <c r="B9" s="236" t="inlineStr">
        <is>
          <t>Checklist 
Opérations liées à la Réception de Marchandises</t>
        </is>
      </c>
      <c r="C9" s="237" t="n"/>
      <c r="D9" s="237" t="n"/>
      <c r="E9" s="237" t="n"/>
      <c r="F9" s="237" t="n"/>
      <c r="G9" s="237" t="n"/>
      <c r="H9" s="237" t="n"/>
      <c r="I9" s="237" t="n"/>
      <c r="J9" s="237" t="n"/>
      <c r="K9" s="237" t="n"/>
      <c r="L9" s="238" t="n"/>
      <c r="M9" s="1" t="n"/>
      <c r="N9" s="1" t="n"/>
      <c r="O9" s="1" t="n"/>
      <c r="P9" s="28" t="n"/>
      <c r="Q9" s="28" t="n"/>
    </row>
    <row r="10" ht="12" customHeight="1" s="13" thickBot="1">
      <c r="B10" s="42" t="n"/>
      <c r="C10" s="235" t="n"/>
      <c r="D10" s="235" t="n"/>
      <c r="E10" s="235" t="n"/>
      <c r="F10" s="235" t="n"/>
      <c r="G10" s="235" t="n"/>
      <c r="H10" s="235" t="n"/>
      <c r="I10" s="44" t="inlineStr">
        <is>
          <t>Conforme</t>
        </is>
      </c>
      <c r="J10" s="44" t="inlineStr">
        <is>
          <t>Non-conforme</t>
        </is>
      </c>
      <c r="K10" s="44" t="inlineStr">
        <is>
          <t>Non-Applicable</t>
        </is>
      </c>
      <c r="L10" s="239" t="n"/>
      <c r="M10" s="1" t="n"/>
      <c r="N10" s="1" t="n"/>
      <c r="O10" s="1" t="n"/>
      <c r="P10" s="28" t="n"/>
      <c r="Q10" s="28" t="n"/>
    </row>
    <row r="11" ht="60" customHeight="1" s="13" thickBot="1">
      <c r="B11" s="46" t="inlineStr">
        <is>
          <t>1-    Vérifier que la marchandise nous est bien destinée</t>
        </is>
      </c>
      <c r="C11" s="240" t="n"/>
      <c r="D11" s="240" t="n"/>
      <c r="E11" s="240" t="n"/>
      <c r="F11" s="240" t="n"/>
      <c r="G11" s="240" t="n"/>
      <c r="H11" s="240" t="n"/>
      <c r="I11" s="48" t="n"/>
      <c r="J11" s="56" t="n"/>
      <c r="K11" s="48" t="n"/>
      <c r="L11" s="241" t="n"/>
      <c r="M11" s="1" t="b">
        <v>0</v>
      </c>
      <c r="N11" s="1" t="b">
        <v>0</v>
      </c>
      <c r="O11" s="1" t="b">
        <v>0</v>
      </c>
      <c r="P11" s="28" t="n"/>
      <c r="Q11" s="28" t="n"/>
    </row>
    <row r="12" ht="60" customHeight="1" s="13" thickBot="1">
      <c r="B12" s="46" t="inlineStr">
        <is>
          <t>2-    Vérifier le nombre de colis annoncé par le transporteur ainsi que leurs états.</t>
        </is>
      </c>
      <c r="C12" s="240" t="n"/>
      <c r="D12" s="240" t="n"/>
      <c r="E12" s="240" t="n"/>
      <c r="F12" s="240" t="n"/>
      <c r="G12" s="240" t="n"/>
      <c r="H12" s="240" t="n"/>
      <c r="I12" s="56" t="n"/>
      <c r="J12" s="56" t="n"/>
      <c r="K12" s="48" t="n"/>
      <c r="L12" s="241" t="n"/>
      <c r="M12" s="1" t="b">
        <v>0</v>
      </c>
      <c r="N12" s="1" t="b">
        <v>0</v>
      </c>
      <c r="O12" s="1" t="b">
        <v>0</v>
      </c>
      <c r="P12" s="28" t="n"/>
      <c r="Q12" s="28" t="n"/>
    </row>
    <row r="13" ht="60" customHeight="1" s="13" thickBot="1">
      <c r="B13" s="46" t="inlineStr">
        <is>
          <t>3-    Signer et dater le bon de transport. Faire des réserves sur la conformité du produit sur le Bon de Transport</t>
        </is>
      </c>
      <c r="C13" s="240" t="n"/>
      <c r="D13" s="240" t="n"/>
      <c r="E13" s="240" t="n"/>
      <c r="F13" s="240" t="n"/>
      <c r="G13" s="240" t="n"/>
      <c r="H13" s="240" t="n"/>
      <c r="I13" s="56" t="n"/>
      <c r="J13" s="56" t="n"/>
      <c r="K13" s="48" t="n"/>
      <c r="L13" s="241" t="n"/>
      <c r="M13" s="1" t="b">
        <v>0</v>
      </c>
      <c r="N13" s="1" t="b">
        <v>0</v>
      </c>
      <c r="O13" s="1" t="b">
        <v>0</v>
      </c>
      <c r="P13" s="28" t="n"/>
      <c r="Q13" s="28" t="n"/>
    </row>
    <row r="14" ht="60" customHeight="1" s="13" thickBot="1">
      <c r="B14" s="46" t="inlineStr">
        <is>
          <t>4-    Agrafer le Bon de Transport au Bon de Livraison</t>
        </is>
      </c>
      <c r="C14" s="240" t="n"/>
      <c r="D14" s="240" t="n"/>
      <c r="E14" s="240" t="n"/>
      <c r="F14" s="240" t="n"/>
      <c r="G14" s="240" t="n"/>
      <c r="H14" s="240" t="n"/>
      <c r="I14" s="56" t="n"/>
      <c r="J14" s="56" t="n"/>
      <c r="K14" s="48" t="n"/>
      <c r="L14" s="241" t="n"/>
      <c r="M14" s="1" t="b">
        <v>0</v>
      </c>
      <c r="N14" s="1" t="b">
        <v>0</v>
      </c>
      <c r="O14" s="1" t="b">
        <v>0</v>
      </c>
      <c r="P14" s="28" t="n"/>
      <c r="Q14" s="28" t="n"/>
    </row>
    <row r="15" ht="19.95" customHeight="1" s="13">
      <c r="B15" s="50" t="inlineStr">
        <is>
          <t>5-     Contrôler la conformité de la livraison par rapport au Bon de Livraison :</t>
        </is>
      </c>
      <c r="C15" s="237" t="n"/>
      <c r="D15" s="237" t="n"/>
      <c r="E15" s="237" t="n"/>
      <c r="F15" s="237" t="n"/>
      <c r="G15" s="237" t="n"/>
      <c r="H15" s="237" t="n"/>
      <c r="I15" s="48" t="n"/>
      <c r="J15" s="242" t="n"/>
      <c r="K15" s="48" t="n"/>
      <c r="L15" s="243" t="n"/>
      <c r="M15" s="1" t="b">
        <v>0</v>
      </c>
      <c r="N15" s="1" t="b">
        <v>0</v>
      </c>
      <c r="O15" s="1" t="b">
        <v>0</v>
      </c>
      <c r="P15" s="28" t="n"/>
      <c r="Q15" s="28" t="n"/>
    </row>
    <row r="16" ht="19.95" customHeight="1" s="13">
      <c r="B16" s="60" t="inlineStr">
        <is>
          <t>·        Contrôler la quantité reçue / BL</t>
        </is>
      </c>
      <c r="I16" s="244" t="n"/>
      <c r="J16" s="244" t="n"/>
      <c r="K16" s="245" t="n"/>
      <c r="L16" s="246" t="n"/>
      <c r="M16" s="1" t="b">
        <v>0</v>
      </c>
      <c r="N16" s="1" t="b">
        <v>0</v>
      </c>
      <c r="O16" s="1" t="b">
        <v>0</v>
      </c>
      <c r="P16" s="28" t="n"/>
      <c r="Q16" s="28" t="n"/>
    </row>
    <row r="17" ht="19.95" customHeight="1" s="13" thickBot="1">
      <c r="B17" s="52" t="inlineStr">
        <is>
          <t>·        Contrôler les références marchandises / BL</t>
        </is>
      </c>
      <c r="C17" s="235" t="n"/>
      <c r="D17" s="235" t="n"/>
      <c r="E17" s="235" t="n"/>
      <c r="F17" s="235" t="n"/>
      <c r="G17" s="235" t="n"/>
      <c r="H17" s="235" t="n"/>
      <c r="I17" s="247" t="n"/>
      <c r="J17" s="247" t="n"/>
      <c r="K17" s="248" t="n"/>
      <c r="L17" s="239" t="n"/>
      <c r="M17" s="1" t="b">
        <v>0</v>
      </c>
      <c r="N17" s="1" t="b">
        <v>0</v>
      </c>
      <c r="O17" s="1" t="b">
        <v>0</v>
      </c>
      <c r="P17" s="28" t="n"/>
      <c r="Q17" s="28" t="n"/>
    </row>
    <row r="18" ht="60" customHeight="1" s="13" thickBot="1">
      <c r="B18" s="46" t="inlineStr">
        <is>
          <t>6-    Remettre le Bon de Livraison au service Achat, au plus tard à J+1</t>
        </is>
      </c>
      <c r="C18" s="240" t="n"/>
      <c r="D18" s="240" t="n"/>
      <c r="E18" s="240" t="n"/>
      <c r="F18" s="240" t="n"/>
      <c r="G18" s="240" t="n"/>
      <c r="H18" s="240" t="n"/>
      <c r="I18" s="56" t="n"/>
      <c r="J18" s="56" t="n"/>
      <c r="K18" s="48" t="n"/>
      <c r="L18" s="241" t="n"/>
      <c r="M18" s="1" t="b">
        <v>0</v>
      </c>
      <c r="N18" s="1" t="b">
        <v>0</v>
      </c>
      <c r="O18" s="1" t="b">
        <v>0</v>
      </c>
      <c r="P18" s="28" t="n"/>
      <c r="Q18" s="28" t="n"/>
    </row>
    <row r="19" ht="60" customHeight="1" s="13" thickBot="1">
      <c r="B19" s="50" t="inlineStr">
        <is>
          <t>7-    Identifier la marchandise : 
Service Note, En stock, En zone de quarantaine (NC Blocked)</t>
        </is>
      </c>
      <c r="C19" s="237" t="n"/>
      <c r="D19" s="237" t="n"/>
      <c r="E19" s="237" t="n"/>
      <c r="F19" s="237" t="n"/>
      <c r="G19" s="237" t="n"/>
      <c r="H19" s="237" t="n"/>
      <c r="I19" s="54" t="n"/>
      <c r="J19" s="54" t="n"/>
      <c r="K19" s="54" t="n"/>
      <c r="L19" s="243" t="n"/>
      <c r="M19" s="1" t="n"/>
      <c r="N19" s="1" t="n"/>
      <c r="O19" s="1" t="n"/>
      <c r="P19" s="28" t="n"/>
      <c r="Q19" s="28" t="n"/>
    </row>
    <row r="20" ht="15" customHeight="1" s="13">
      <c r="B20" s="50" t="inlineStr">
        <is>
          <t>8-    Ranger / Nettoyer :</t>
        </is>
      </c>
      <c r="C20" s="237" t="n"/>
      <c r="D20" s="237" t="n"/>
      <c r="E20" s="237" t="n"/>
      <c r="F20" s="237" t="n"/>
      <c r="G20" s="237" t="n"/>
      <c r="H20" s="237" t="n"/>
      <c r="I20" s="48" t="n"/>
      <c r="J20" s="242" t="n"/>
      <c r="K20" s="48" t="n"/>
      <c r="L20" s="243" t="n"/>
      <c r="M20" s="1" t="n"/>
      <c r="N20" s="1" t="n"/>
      <c r="O20" s="1" t="n"/>
      <c r="P20" s="28" t="n"/>
      <c r="Q20" s="28" t="n"/>
    </row>
    <row r="21" ht="15" customHeight="1" s="13">
      <c r="B21" s="63" t="inlineStr">
        <is>
          <t xml:space="preserve">Ø  Zone arrivée </t>
        </is>
      </c>
      <c r="I21" s="244" t="n"/>
      <c r="J21" s="244" t="n"/>
      <c r="K21" s="245" t="n"/>
      <c r="L21" s="246" t="n"/>
      <c r="M21" s="1" t="n"/>
      <c r="N21" s="1" t="n"/>
      <c r="O21" s="1" t="n"/>
      <c r="P21" s="28" t="n"/>
      <c r="Q21" s="28" t="n"/>
    </row>
    <row r="22" ht="15" customHeight="1" s="13">
      <c r="B22" s="63" t="inlineStr">
        <is>
          <t>Ø  Zone de stockage en cours</t>
        </is>
      </c>
      <c r="I22" s="244" t="n"/>
      <c r="J22" s="244" t="n"/>
      <c r="K22" s="245" t="n"/>
      <c r="L22" s="246" t="n"/>
      <c r="M22" s="1" t="n"/>
      <c r="N22" s="1" t="n"/>
      <c r="O22" s="1" t="n"/>
      <c r="P22" s="28" t="n"/>
      <c r="Q22" s="28" t="n"/>
    </row>
    <row r="23" ht="15" customHeight="1" s="13" thickBot="1">
      <c r="B23" s="76" t="inlineStr">
        <is>
          <t>Ø  Informer ou faire passer (commercial/ Administration)</t>
        </is>
      </c>
      <c r="C23" s="235" t="n"/>
      <c r="D23" s="235" t="n"/>
      <c r="E23" s="235" t="n"/>
      <c r="F23" s="235" t="n"/>
      <c r="G23" s="235" t="n"/>
      <c r="H23" s="235" t="n"/>
      <c r="I23" s="247" t="n"/>
      <c r="J23" s="247" t="n"/>
      <c r="K23" s="248" t="n"/>
      <c r="L23" s="239" t="n"/>
      <c r="M23" s="1" t="n"/>
      <c r="N23" s="1" t="n"/>
      <c r="O23" s="1" t="n"/>
      <c r="P23" s="28" t="n"/>
      <c r="Q23" s="28" t="n"/>
    </row>
    <row r="24" ht="7.95" customHeight="1" s="13" thickBot="1">
      <c r="B24" s="78" t="n"/>
      <c r="C24" s="237" t="n"/>
      <c r="D24" s="237" t="n"/>
      <c r="E24" s="237" t="n"/>
      <c r="F24" s="237" t="n"/>
      <c r="G24" s="237" t="n"/>
      <c r="H24" s="237" t="n"/>
      <c r="I24" s="237" t="n"/>
      <c r="J24" s="237" t="n"/>
      <c r="K24" s="237" t="n"/>
      <c r="L24" s="237" t="n"/>
      <c r="M24" s="1" t="n"/>
      <c r="N24" s="1" t="n"/>
      <c r="O24" s="1" t="n"/>
      <c r="P24" s="1" t="n"/>
    </row>
    <row r="25" ht="60" customHeight="1" s="13" thickBot="1">
      <c r="B25" s="72" t="inlineStr">
        <is>
          <t>COMMENTAIRES :</t>
        </is>
      </c>
      <c r="C25" s="240" t="n"/>
      <c r="D25" s="75" t="n"/>
      <c r="E25" s="240" t="n"/>
      <c r="F25" s="240" t="n"/>
      <c r="G25" s="240" t="n"/>
      <c r="H25" s="240" t="n"/>
      <c r="I25" s="240" t="n"/>
      <c r="J25" s="240" t="n"/>
      <c r="K25" s="240" t="n"/>
      <c r="L25" s="249" t="n"/>
      <c r="M25" s="1">
        <f>AND(OR(M11,O11),OR(M12,O12),OR(M13,O13),OR(M14,O14),OR(M15,O15),OR(M16,O16),OR(M17,O17),OR(M18,O18))</f>
        <v/>
      </c>
      <c r="N25" s="1">
        <f>OR(N11,N12,N13,N14,N15,N16,N17,N18)</f>
        <v/>
      </c>
      <c r="O25" s="1" t="n"/>
      <c r="P25" s="1" t="n"/>
    </row>
    <row r="26" ht="7.95" customHeight="1" s="13">
      <c r="B26" s="23" t="n"/>
      <c r="C26" s="23" t="n"/>
      <c r="D26" s="23" t="n"/>
      <c r="E26" s="23" t="n"/>
      <c r="F26" s="23" t="n"/>
      <c r="G26" s="23" t="n"/>
      <c r="H26" s="23" t="n"/>
      <c r="I26" s="23" t="n"/>
      <c r="J26" s="23" t="n"/>
      <c r="K26" s="23" t="n"/>
      <c r="L26" s="23" t="n"/>
      <c r="M26" s="1" t="n"/>
      <c r="N26" s="1" t="n"/>
      <c r="O26" s="1" t="n"/>
      <c r="P26" s="1" t="n"/>
    </row>
    <row r="27" ht="18" customHeight="1" s="13">
      <c r="B27" s="62" t="inlineStr">
        <is>
          <t>Conforme</t>
        </is>
      </c>
      <c r="D27" s="62" t="inlineStr">
        <is>
          <t>Non-Conforme</t>
        </is>
      </c>
      <c r="G27" s="62" t="inlineStr">
        <is>
          <t>Signature</t>
        </is>
      </c>
      <c r="M27" s="1" t="n"/>
      <c r="N27" s="1" t="n"/>
      <c r="O27" s="1" t="n"/>
      <c r="P27" s="1" t="n"/>
    </row>
    <row r="28" ht="45" customHeight="1" s="13">
      <c r="B28" s="67" t="n"/>
      <c r="D28" s="67" t="n"/>
      <c r="G28" s="68" t="n"/>
    </row>
  </sheetData>
  <mergeCells count="54">
    <mergeCell ref="K2:M2"/>
    <mergeCell ref="C2:J2"/>
    <mergeCell ref="A2:B2"/>
    <mergeCell ref="A3:M3"/>
    <mergeCell ref="B28:C28"/>
    <mergeCell ref="D28:F28"/>
    <mergeCell ref="G28:L28"/>
    <mergeCell ref="J15:J17"/>
    <mergeCell ref="J20:J23"/>
    <mergeCell ref="B25:C25"/>
    <mergeCell ref="D25:L25"/>
    <mergeCell ref="B23:H23"/>
    <mergeCell ref="I20:I23"/>
    <mergeCell ref="K20:L23"/>
    <mergeCell ref="B24:L24"/>
    <mergeCell ref="B27:C27"/>
    <mergeCell ref="D27:F27"/>
    <mergeCell ref="G27:L27"/>
    <mergeCell ref="K19:L19"/>
    <mergeCell ref="B20:H20"/>
    <mergeCell ref="B21:H21"/>
    <mergeCell ref="B22:H22"/>
    <mergeCell ref="B19:H19"/>
    <mergeCell ref="B17:H17"/>
    <mergeCell ref="I15:I17"/>
    <mergeCell ref="K15:L17"/>
    <mergeCell ref="B18:H18"/>
    <mergeCell ref="K18:L18"/>
    <mergeCell ref="B16:H16"/>
    <mergeCell ref="B13:H13"/>
    <mergeCell ref="K13:L13"/>
    <mergeCell ref="B14:H14"/>
    <mergeCell ref="K14:L14"/>
    <mergeCell ref="B15:H15"/>
    <mergeCell ref="B10:H10"/>
    <mergeCell ref="K10:L10"/>
    <mergeCell ref="B11:H11"/>
    <mergeCell ref="K11:L11"/>
    <mergeCell ref="B12:H12"/>
    <mergeCell ref="K12:L12"/>
    <mergeCell ref="L6:L7"/>
    <mergeCell ref="C8:D8"/>
    <mergeCell ref="F8:G8"/>
    <mergeCell ref="H8:K8"/>
    <mergeCell ref="B9:L9"/>
    <mergeCell ref="C5:D5"/>
    <mergeCell ref="F5:G5"/>
    <mergeCell ref="H5:K5"/>
    <mergeCell ref="B6:B7"/>
    <mergeCell ref="C6:D7"/>
    <mergeCell ref="E6:E7"/>
    <mergeCell ref="F6:G6"/>
    <mergeCell ref="F7:G7"/>
    <mergeCell ref="H6:K7"/>
  </mergeCells>
  <printOptions horizontalCentered="1"/>
  <pageMargins left="0.5118110236220472" right="0.5118110236220472" top="0.5511811023622047" bottom="0.5511811023622047" header="0.3149606299212598" footer="0.3149606299212598"/>
  <pageSetup orientation="portrait" paperSize="9" scale="68"/>
  <headerFooter>
    <oddHeader/>
    <oddFooter>&amp;RResponsible: Clesi, Joffrey  I   Status: released    I    ID 24496   I   Rev. 003/03.2022   I   Date: 3/21/2022   I   Page 1 from 1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7">
    <outlinePr summaryBelow="1" summaryRight="1"/>
    <pageSetUpPr fitToPage="1"/>
  </sheetPr>
  <dimension ref="B3:L16"/>
  <sheetViews>
    <sheetView showGridLines="0" showRowColHeaders="0" zoomScale="70" zoomScaleNormal="70" workbookViewId="0">
      <selection activeCell="B3" sqref="B3:K16"/>
    </sheetView>
  </sheetViews>
  <sheetFormatPr baseColWidth="10" defaultRowHeight="14.4"/>
  <cols>
    <col width="20" customWidth="1" style="13" min="2" max="2"/>
    <col width="10.77734375" customWidth="1" style="13" min="3" max="3"/>
    <col width="4.21875" customWidth="1" style="13" min="4" max="4"/>
    <col width="32.6640625" customWidth="1" style="13" min="5" max="5"/>
    <col width="11.33203125" customWidth="1" style="13" min="6" max="6"/>
    <col width="18.88671875" customWidth="1" style="13" min="7" max="7"/>
    <col width="13.33203125" customWidth="1" style="13" min="8" max="8"/>
    <col width="12.77734375" customWidth="1" style="13" min="9" max="9"/>
    <col width="18.88671875" customWidth="1" style="13" min="11" max="11"/>
  </cols>
  <sheetData>
    <row r="3" ht="60" customHeight="1" s="13">
      <c r="B3" s="20" t="n"/>
      <c r="C3" s="79" t="inlineStr">
        <is>
          <t>F NC Blocked – F Quarantaine NC</t>
        </is>
      </c>
      <c r="K3" s="20" t="n"/>
    </row>
    <row r="4" ht="13.05" customHeight="1" s="13" thickBot="1">
      <c r="B4" s="80" t="n"/>
      <c r="C4" s="231" t="n"/>
      <c r="D4" s="231" t="n"/>
      <c r="E4" s="231" t="n"/>
      <c r="F4" s="231" t="n"/>
      <c r="G4" s="231" t="n"/>
      <c r="H4" s="231" t="n"/>
      <c r="I4" s="231" t="n"/>
      <c r="J4" s="231" t="n"/>
      <c r="K4" s="231" t="n"/>
    </row>
    <row r="5" ht="15" customHeight="1" s="13">
      <c r="B5" s="89" t="inlineStr">
        <is>
          <t>Part Number / Serial Number:</t>
        </is>
      </c>
      <c r="C5" s="233" t="n"/>
      <c r="D5" s="250" t="n"/>
      <c r="E5" s="251" t="n"/>
      <c r="F5" s="14" t="inlineStr">
        <is>
          <t>ORDER :</t>
        </is>
      </c>
      <c r="G5" s="251" t="n"/>
      <c r="H5" s="14" t="inlineStr">
        <is>
          <t>QUANTITY :</t>
        </is>
      </c>
      <c r="I5" s="251" t="n"/>
      <c r="J5" s="252" t="inlineStr">
        <is>
          <t>DATE :</t>
        </is>
      </c>
      <c r="K5" s="251" t="n"/>
    </row>
    <row r="6" ht="15" customHeight="1" s="13" thickBot="1">
      <c r="B6" s="253" t="inlineStr">
        <is>
          <t>Numéro pièce / Numéro de Série :</t>
        </is>
      </c>
      <c r="C6" s="231" t="n"/>
      <c r="D6" s="254" t="n"/>
      <c r="E6" s="255" t="n"/>
      <c r="F6" s="86" t="inlineStr">
        <is>
          <t>Commande :</t>
        </is>
      </c>
      <c r="G6" s="255" t="n"/>
      <c r="H6" s="86" t="inlineStr">
        <is>
          <t>Quantité :</t>
        </is>
      </c>
      <c r="I6" s="255" t="n"/>
      <c r="J6" s="256" t="n"/>
      <c r="K6" s="255" t="n"/>
    </row>
    <row r="7" ht="13.05" customHeight="1" s="13">
      <c r="B7" s="93" t="n"/>
      <c r="C7" s="233" t="n"/>
      <c r="D7" s="233" t="n"/>
      <c r="E7" s="233" t="n"/>
      <c r="F7" s="233" t="n"/>
      <c r="G7" s="233" t="n"/>
      <c r="H7" s="233" t="n"/>
      <c r="I7" s="233" t="n"/>
      <c r="J7" s="233" t="n"/>
      <c r="K7" s="233" t="n"/>
    </row>
    <row r="8" ht="14.4" customHeight="1" s="13">
      <c r="B8" s="94" t="inlineStr">
        <is>
          <t>REMARK – TYPE OF ERROR AND ERROR DESCRIPTION</t>
        </is>
      </c>
    </row>
    <row r="9" ht="15" customHeight="1" s="13" thickBot="1">
      <c r="B9" s="85" t="inlineStr">
        <is>
          <t>REMARQUE – TYPE D'ERREUR ET DESCRIPTION DE L'ERREUR</t>
        </is>
      </c>
      <c r="C9" s="231" t="n"/>
      <c r="D9" s="231" t="n"/>
      <c r="E9" s="231" t="n"/>
      <c r="F9" s="231" t="n"/>
      <c r="G9" s="231" t="n"/>
      <c r="H9" s="231" t="n"/>
      <c r="I9" s="231" t="n"/>
      <c r="J9" s="231" t="n"/>
      <c r="K9" s="231" t="n"/>
    </row>
    <row r="10" ht="300" customHeight="1" s="13" thickBot="1">
      <c r="B10" s="257" t="n"/>
      <c r="C10" s="258" t="n"/>
      <c r="D10" s="258" t="n"/>
      <c r="E10" s="258" t="n"/>
      <c r="F10" s="258" t="n"/>
      <c r="G10" s="258" t="n"/>
      <c r="H10" s="258" t="n"/>
      <c r="I10" s="258" t="n"/>
      <c r="J10" s="258" t="n"/>
      <c r="K10" s="259" t="n"/>
    </row>
    <row r="11" ht="13.05" customHeight="1" s="13" thickBot="1">
      <c r="B11" s="98" t="n"/>
      <c r="C11" s="258" t="n"/>
      <c r="D11" s="258" t="n"/>
      <c r="E11" s="258" t="n"/>
      <c r="F11" s="258" t="n"/>
      <c r="G11" s="258" t="n"/>
      <c r="H11" s="258" t="n"/>
      <c r="I11" s="258" t="n"/>
      <c r="J11" s="258" t="n"/>
      <c r="K11" s="258" t="n"/>
    </row>
    <row r="12" ht="19.95" customHeight="1" s="13">
      <c r="B12" s="17" t="inlineStr">
        <is>
          <t>Blocked by</t>
        </is>
      </c>
      <c r="C12" s="16" t="inlineStr">
        <is>
          <t>NAME :</t>
        </is>
      </c>
      <c r="D12" s="260" t="n"/>
      <c r="E12" s="261" t="n"/>
      <c r="F12" s="262" t="inlineStr">
        <is>
          <t>DATE :</t>
        </is>
      </c>
      <c r="G12" s="263" t="n">
        <v>44691</v>
      </c>
      <c r="H12" s="262" t="inlineStr">
        <is>
          <t>Signature :</t>
        </is>
      </c>
      <c r="I12" s="264" t="n"/>
      <c r="J12" s="233" t="n"/>
      <c r="K12" s="261" t="n"/>
    </row>
    <row r="13" ht="19.95" customHeight="1" s="13" thickBot="1">
      <c r="B13" s="18" t="inlineStr">
        <is>
          <t xml:space="preserve">Quarantaine par </t>
        </is>
      </c>
      <c r="C13" s="19" t="inlineStr">
        <is>
          <t>Nom :</t>
        </is>
      </c>
      <c r="D13" s="231" t="n"/>
      <c r="E13" s="265" t="n"/>
      <c r="F13" s="266" t="n"/>
      <c r="G13" s="265" t="n"/>
      <c r="H13" s="266" t="n"/>
      <c r="I13" s="231" t="n"/>
      <c r="J13" s="231" t="n"/>
      <c r="K13" s="265" t="n"/>
      <c r="L13">
        <f>YEAR(G12)&amp;"_"&amp;MONTH(G12)&amp;"_"&amp;DAY(G12)&amp;"_"&amp;D12</f>
        <v/>
      </c>
    </row>
    <row r="14" ht="19.95" customHeight="1" s="13">
      <c r="B14" s="82" t="inlineStr">
        <is>
          <t>The identification label must be attached to the material in a visible manner and protected from loss.</t>
        </is>
      </c>
      <c r="C14" s="233" t="n"/>
      <c r="D14" s="233" t="n"/>
      <c r="E14" s="233" t="n"/>
      <c r="F14" s="233" t="n"/>
      <c r="G14" s="233" t="n"/>
      <c r="H14" s="233" t="n"/>
      <c r="I14" s="233" t="n"/>
      <c r="J14" s="233" t="n"/>
      <c r="K14" s="233" t="n"/>
    </row>
    <row r="15" ht="19.95" customHeight="1" s="13">
      <c r="B15" s="91" t="inlineStr">
        <is>
          <t>L'étiquette d'identification doit être fixée au matériel de manière visible et protégée contre la perte.</t>
        </is>
      </c>
    </row>
    <row r="16">
      <c r="B16" s="92" t="inlineStr">
        <is>
          <t xml:space="preserve">Responsible: Joffrey Clesi   I   Status: released    I    ID 25575   I   Rev. 002/03.2022 </t>
        </is>
      </c>
    </row>
  </sheetData>
  <mergeCells count="22">
    <mergeCell ref="B14:K14"/>
    <mergeCell ref="B15:K15"/>
    <mergeCell ref="B16:K16"/>
    <mergeCell ref="B7:K7"/>
    <mergeCell ref="B8:K8"/>
    <mergeCell ref="B9:K9"/>
    <mergeCell ref="B10:K10"/>
    <mergeCell ref="B11:K11"/>
    <mergeCell ref="D12:E13"/>
    <mergeCell ref="F12:F13"/>
    <mergeCell ref="G12:G13"/>
    <mergeCell ref="H12:H13"/>
    <mergeCell ref="I12:K13"/>
    <mergeCell ref="C3:J3"/>
    <mergeCell ref="B4:K4"/>
    <mergeCell ref="B5:D5"/>
    <mergeCell ref="B6:D6"/>
    <mergeCell ref="E5:E6"/>
    <mergeCell ref="G5:G6"/>
    <mergeCell ref="I5:I6"/>
    <mergeCell ref="J5:J6"/>
    <mergeCell ref="K5:K6"/>
  </mergeCells>
  <printOptions horizontalCentered="1" verticalCentered="1"/>
  <pageMargins left="0.7086614173228347" right="0.7086614173228347" top="0.7480314960629921" bottom="0.7480314960629921" header="0.3149606299212598" footer="0.3149606299212598"/>
  <pageSetup orientation="landscape" paperSize="9" scale="84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Feuil5">
    <outlinePr summaryBelow="1" summaryRight="1"/>
    <pageSetUpPr fitToPage="1"/>
  </sheetPr>
  <dimension ref="A2:AV71"/>
  <sheetViews>
    <sheetView showGridLines="0" tabSelected="1" topLeftCell="A52" zoomScale="130" zoomScaleNormal="130" zoomScalePageLayoutView="115" workbookViewId="0">
      <selection activeCell="AU9" sqref="AU9"/>
    </sheetView>
  </sheetViews>
  <sheetFormatPr baseColWidth="10" defaultRowHeight="14.4"/>
  <cols>
    <col width="3.33203125" customWidth="1" style="13" min="1" max="1"/>
    <col width="2.88671875" customWidth="1" style="13" min="2" max="3"/>
    <col width="3.77734375" customWidth="1" style="13" min="4" max="4"/>
    <col width="0.88671875" customWidth="1" style="13" min="5" max="8"/>
    <col width="2.77734375" customWidth="1" style="13" min="9" max="9"/>
    <col width="3.44140625" customWidth="1" style="13" min="10" max="10"/>
    <col width="2.77734375" customWidth="1" style="13" min="11" max="11"/>
    <col width="3.77734375" customWidth="1" style="13" min="12" max="12"/>
    <col width="4.77734375" customWidth="1" style="13" min="13" max="13"/>
    <col width="1.109375" customWidth="1" style="13" min="14" max="14"/>
    <col width="2.33203125" customWidth="1" style="13" min="15" max="15"/>
    <col width="1.77734375" customWidth="1" style="13" min="16" max="16"/>
    <col width="1.33203125" customWidth="1" style="13" min="17" max="18"/>
    <col width="2.77734375" customWidth="1" style="13" min="19" max="19"/>
    <col width="0.88671875" customWidth="1" style="13" min="20" max="20"/>
    <col width="8.88671875" customWidth="1" style="13" min="21" max="21"/>
    <col width="2.77734375" customWidth="1" style="13" min="22" max="22"/>
    <col width="1.77734375" customWidth="1" style="13" min="23" max="23"/>
    <col width="2.44140625" customWidth="1" style="13" min="24" max="24"/>
    <col width="1.21875" customWidth="1" style="13" min="25" max="25"/>
    <col width="1" customWidth="1" style="13" min="26" max="26"/>
    <col width="1.77734375" customWidth="1" style="13" min="27" max="28"/>
    <col width="0.88671875" customWidth="1" style="13" min="29" max="33"/>
    <col width="1.77734375" customWidth="1" style="13" min="34" max="35"/>
    <col width="0.44140625" customWidth="1" style="13" min="36" max="36"/>
    <col width="1.33203125" customWidth="1" style="13" min="37" max="37"/>
    <col width="2.33203125" customWidth="1" style="13" min="38" max="38"/>
    <col width="1.77734375" customWidth="1" style="13" min="39" max="39"/>
    <col width="5.77734375" customWidth="1" style="13" min="40" max="40"/>
    <col width="5.44140625" customWidth="1" style="13" min="41" max="41"/>
    <col width="6.77734375" customWidth="1" style="13" min="42" max="42"/>
    <col width="1.77734375" customWidth="1" style="13" min="43" max="44"/>
    <col width="12.44140625" customWidth="1" style="13" min="45" max="45"/>
    <col width="4.5546875" customWidth="1" style="13" min="46" max="46"/>
  </cols>
  <sheetData>
    <row r="2" ht="10.05" customFormat="1" customHeight="1" s="229">
      <c r="A2" s="230" t="inlineStr">
        <is>
          <t>$A$2</t>
        </is>
      </c>
      <c r="K2" s="221" t="inlineStr">
        <is>
          <t>Form</t>
        </is>
      </c>
      <c r="AN2" s="225" t="inlineStr">
        <is>
          <t>Page:</t>
        </is>
      </c>
      <c r="AP2" s="228" t="inlineStr">
        <is>
          <t>2 Pages</t>
        </is>
      </c>
      <c r="AT2" s="225" t="n"/>
    </row>
    <row r="3" ht="10.05" customFormat="1" customHeight="1" s="229">
      <c r="AN3" s="225" t="inlineStr">
        <is>
          <t>Status:</t>
        </is>
      </c>
      <c r="AP3" s="228" t="inlineStr">
        <is>
          <t>released</t>
        </is>
      </c>
      <c r="AT3" s="225" t="n"/>
    </row>
    <row r="4" ht="10.05" customFormat="1" customHeight="1" s="229">
      <c r="K4" s="223" t="inlineStr">
        <is>
          <t>NC Grid - Fiche de Non-Conformité (NC)</t>
        </is>
      </c>
      <c r="AN4" s="225" t="inlineStr">
        <is>
          <t>ID:</t>
        </is>
      </c>
      <c r="AP4" s="228" t="n">
        <v>25593</v>
      </c>
      <c r="AT4" s="225" t="n"/>
    </row>
    <row r="5" ht="10.05" customFormat="1" customHeight="1" s="229" thickBot="1">
      <c r="A5" s="267" t="n"/>
      <c r="B5" s="267" t="n"/>
      <c r="C5" s="267" t="n"/>
      <c r="D5" s="267" t="n"/>
      <c r="E5" s="267" t="n"/>
      <c r="F5" s="267" t="n"/>
      <c r="G5" s="267" t="n"/>
      <c r="H5" s="267" t="n"/>
      <c r="I5" s="267" t="n"/>
      <c r="J5" s="267" t="n"/>
      <c r="K5" s="267" t="n"/>
      <c r="L5" s="267" t="n"/>
      <c r="M5" s="267" t="n"/>
      <c r="N5" s="267" t="n"/>
      <c r="O5" s="267" t="n"/>
      <c r="P5" s="267" t="n"/>
      <c r="Q5" s="267" t="n"/>
      <c r="R5" s="267" t="n"/>
      <c r="S5" s="267" t="n"/>
      <c r="T5" s="267" t="n"/>
      <c r="U5" s="267" t="n"/>
      <c r="V5" s="267" t="n"/>
      <c r="W5" s="267" t="n"/>
      <c r="X5" s="267" t="n"/>
      <c r="Y5" s="267" t="n"/>
      <c r="Z5" s="267" t="n"/>
      <c r="AA5" s="267" t="n"/>
      <c r="AB5" s="267" t="n"/>
      <c r="AC5" s="267" t="n"/>
      <c r="AD5" s="267" t="n"/>
      <c r="AE5" s="267" t="n"/>
      <c r="AF5" s="267" t="n"/>
      <c r="AG5" s="267" t="n"/>
      <c r="AH5" s="267" t="n"/>
      <c r="AI5" s="267" t="n"/>
      <c r="AJ5" s="267" t="n"/>
      <c r="AK5" s="267" t="n"/>
      <c r="AL5" s="267" t="n"/>
      <c r="AM5" s="267" t="n"/>
      <c r="AN5" s="226" t="inlineStr">
        <is>
          <t>Revision:</t>
        </is>
      </c>
      <c r="AO5" s="267" t="n"/>
      <c r="AP5" s="227" t="inlineStr">
        <is>
          <t>001/02.2022</t>
        </is>
      </c>
      <c r="AQ5" s="267" t="n"/>
      <c r="AR5" s="267" t="n"/>
      <c r="AS5" s="267" t="n"/>
      <c r="AT5" s="225" t="n"/>
    </row>
    <row r="6" ht="15" customHeight="1" s="13" thickBot="1" thickTop="1">
      <c r="A6" s="224" t="n"/>
      <c r="B6" s="268" t="n"/>
      <c r="C6" s="268" t="n"/>
      <c r="D6" s="268" t="n"/>
      <c r="E6" s="268" t="n"/>
      <c r="F6" s="268" t="n"/>
      <c r="G6" s="268" t="n"/>
      <c r="H6" s="268" t="n"/>
      <c r="I6" s="268" t="n"/>
      <c r="J6" s="268" t="n"/>
      <c r="K6" s="268" t="n"/>
      <c r="L6" s="268" t="n"/>
      <c r="M6" s="268" t="n"/>
      <c r="N6" s="268" t="n"/>
      <c r="O6" s="268" t="n"/>
      <c r="P6" s="268" t="n"/>
      <c r="Q6" s="268" t="n"/>
      <c r="R6" s="268" t="n"/>
      <c r="S6" s="268" t="n"/>
      <c r="T6" s="268" t="n"/>
      <c r="U6" s="268" t="n"/>
      <c r="V6" s="268" t="n"/>
      <c r="W6" s="268" t="n"/>
      <c r="X6" s="268" t="n"/>
      <c r="Y6" s="268" t="n"/>
      <c r="Z6" s="268" t="n"/>
      <c r="AA6" s="268" t="n"/>
      <c r="AB6" s="268" t="n"/>
      <c r="AC6" s="268" t="n"/>
      <c r="AD6" s="268" t="n"/>
      <c r="AE6" s="268" t="n"/>
      <c r="AF6" s="268" t="n"/>
      <c r="AG6" s="268" t="n"/>
      <c r="AH6" s="268" t="n"/>
      <c r="AI6" s="268" t="n"/>
      <c r="AJ6" s="268" t="n"/>
      <c r="AK6" s="268" t="n"/>
      <c r="AL6" s="268" t="n"/>
      <c r="AM6" s="268" t="n"/>
      <c r="AN6" s="268" t="n"/>
      <c r="AO6" s="268" t="n"/>
      <c r="AP6" s="268" t="n"/>
      <c r="AQ6" s="268" t="n"/>
      <c r="AR6" s="268" t="n"/>
      <c r="AS6" s="28" t="n"/>
      <c r="AT6" s="28" t="n"/>
      <c r="AU6" s="28" t="n"/>
      <c r="AV6" s="28" t="n"/>
    </row>
    <row r="7" ht="15" customHeight="1" s="13">
      <c r="B7" s="159" t="inlineStr">
        <is>
          <t xml:space="preserve"> NCG Identification :</t>
        </is>
      </c>
      <c r="C7" s="233" t="n"/>
      <c r="D7" s="233" t="n"/>
      <c r="E7" s="233" t="n"/>
      <c r="F7" s="233" t="n"/>
      <c r="G7" s="233" t="n"/>
      <c r="H7" s="233" t="n"/>
      <c r="I7" s="233" t="n"/>
      <c r="J7" s="233" t="n"/>
      <c r="K7" s="233" t="n"/>
      <c r="L7" s="269">
        <f>IF(AS9&lt;10,AU7&amp;"-0"&amp;AS9,AU7&amp;"-"&amp;AS9)</f>
        <v/>
      </c>
      <c r="M7" s="233" t="n"/>
      <c r="N7" s="233" t="n"/>
      <c r="O7" s="233" t="n"/>
      <c r="P7" s="233" t="n"/>
      <c r="Q7" s="233" t="n"/>
      <c r="R7" s="233" t="n"/>
      <c r="S7" s="233" t="n"/>
      <c r="T7" s="233" t="n"/>
      <c r="U7" s="233" t="n"/>
      <c r="V7" s="233" t="n"/>
      <c r="W7" s="165" t="n"/>
      <c r="X7" s="233" t="n"/>
      <c r="Y7" s="233" t="n"/>
      <c r="Z7" s="233" t="n"/>
      <c r="AA7" s="118" t="inlineStr">
        <is>
          <t xml:space="preserve">Date: </t>
        </is>
      </c>
      <c r="AB7" s="233" t="n"/>
      <c r="AC7" s="233" t="n"/>
      <c r="AD7" s="233" t="n"/>
      <c r="AE7" s="233" t="n"/>
      <c r="AF7" s="233" t="n"/>
      <c r="AG7" s="233" t="n"/>
      <c r="AH7" s="233" t="n"/>
      <c r="AI7" s="233" t="n"/>
      <c r="AJ7" s="151">
        <f>Quarantaine!G12</f>
        <v/>
      </c>
      <c r="AK7" s="233" t="n"/>
      <c r="AL7" s="233" t="n"/>
      <c r="AM7" s="233" t="n"/>
      <c r="AN7" s="233" t="n"/>
      <c r="AO7" s="233" t="n"/>
      <c r="AP7" s="233" t="n"/>
      <c r="AQ7" s="233" t="n"/>
      <c r="AR7" s="261" t="n"/>
      <c r="AS7" s="29">
        <f>RIGHT(YEAR(AJ7),2)</f>
        <v/>
      </c>
      <c r="AT7" s="31" t="n">
        <v>2</v>
      </c>
      <c r="AU7" s="31">
        <f>"FNC"&amp;"-"&amp;AS7&amp;"-0"&amp;AT7</f>
        <v/>
      </c>
      <c r="AV7" s="31" t="n"/>
    </row>
    <row r="8" ht="15" customHeight="1" s="13" thickBot="1">
      <c r="B8" s="161" t="inlineStr">
        <is>
          <t xml:space="preserve">Référence de la FNC </t>
        </is>
      </c>
      <c r="L8" s="231" t="n"/>
      <c r="M8" s="231" t="n"/>
      <c r="N8" s="231" t="n"/>
      <c r="O8" s="231" t="n"/>
      <c r="P8" s="231" t="n"/>
      <c r="Q8" s="231" t="n"/>
      <c r="R8" s="231" t="n"/>
      <c r="S8" s="231" t="n"/>
      <c r="T8" s="231" t="n"/>
      <c r="U8" s="231" t="n"/>
      <c r="V8" s="231" t="n"/>
      <c r="AR8" s="270" t="n"/>
      <c r="AS8" s="31" t="n"/>
      <c r="AT8" s="31" t="n"/>
      <c r="AU8" s="31" t="n"/>
      <c r="AV8" s="31" t="n"/>
    </row>
    <row r="9" ht="30" customHeight="1" s="13">
      <c r="B9" s="271" t="inlineStr">
        <is>
          <t>SECTION 1: DESCRIPTION OF THE PROBLEM - Filled by the writer - A remplir par le rédacteur</t>
        </is>
      </c>
      <c r="AR9" s="270" t="n"/>
      <c r="AS9" s="31" t="n">
        <v>7</v>
      </c>
      <c r="AT9" s="31" t="n"/>
      <c r="AU9" s="31" t="n"/>
      <c r="AV9" s="31" t="n"/>
    </row>
    <row r="10" ht="30" customHeight="1" s="13">
      <c r="B10" s="155" t="inlineStr">
        <is>
          <t>Writer: Rédacteur</t>
        </is>
      </c>
      <c r="F10" s="194" t="inlineStr">
        <is>
          <t>hello</t>
        </is>
      </c>
      <c r="G10" s="272" t="n"/>
      <c r="H10" s="272" t="n"/>
      <c r="I10" s="272" t="n"/>
      <c r="J10" s="272" t="n"/>
      <c r="K10" s="272" t="n"/>
      <c r="L10" s="272" t="n"/>
      <c r="M10" s="272" t="n"/>
      <c r="N10" s="272" t="n"/>
      <c r="O10" s="272" t="n"/>
      <c r="P10" s="272" t="n"/>
      <c r="Q10" s="272" t="n"/>
      <c r="R10" s="272" t="n"/>
      <c r="S10" s="194" t="inlineStr">
        <is>
          <t>world</t>
        </is>
      </c>
      <c r="T10" s="272" t="n"/>
      <c r="U10" s="272" t="n"/>
      <c r="V10" s="272" t="n"/>
      <c r="W10" s="272" t="n"/>
      <c r="X10" s="272" t="n"/>
      <c r="Y10" s="272" t="n"/>
      <c r="Z10" s="272" t="n"/>
      <c r="AA10" s="158" t="inlineStr">
        <is>
          <t>Position</t>
        </is>
      </c>
      <c r="AB10" s="272" t="n"/>
      <c r="AC10" s="272" t="n"/>
      <c r="AD10" s="272" t="n"/>
      <c r="AE10" s="272" t="n"/>
      <c r="AF10" s="272" t="n"/>
      <c r="AG10" s="272" t="n"/>
      <c r="AH10" s="272" t="n"/>
      <c r="AI10" s="272" t="n"/>
      <c r="AJ10" s="272" t="n"/>
      <c r="AK10" s="272" t="n"/>
      <c r="AL10" s="272" t="n"/>
      <c r="AM10" s="272" t="n"/>
      <c r="AN10" s="272" t="n"/>
      <c r="AO10" s="272" t="n"/>
      <c r="AP10" s="272" t="n"/>
      <c r="AQ10" s="272" t="n"/>
      <c r="AR10" s="273" t="n"/>
      <c r="AS10" s="31" t="n"/>
      <c r="AT10" s="31" t="n"/>
      <c r="AU10" s="31" t="n"/>
      <c r="AV10" s="31" t="n"/>
    </row>
    <row r="11" ht="15" customHeight="1" s="13">
      <c r="B11" s="167" t="inlineStr">
        <is>
          <t>Problem description - Description du problème</t>
        </is>
      </c>
      <c r="AH11" s="143" t="inlineStr">
        <is>
          <t xml:space="preserve">Business Class (if obvious) </t>
        </is>
      </c>
      <c r="AR11" s="270" t="n"/>
      <c r="AS11" s="31" t="n"/>
      <c r="AT11" s="31" t="n"/>
      <c r="AU11" s="31" t="n"/>
      <c r="AV11" s="31" t="n"/>
    </row>
    <row r="12" ht="15" customHeight="1" s="13">
      <c r="B12" s="274" t="n"/>
      <c r="AH12" s="145" t="inlineStr">
        <is>
          <t>Classe d’affaire (si évidente)</t>
        </is>
      </c>
      <c r="AR12" s="270" t="n"/>
      <c r="AS12" s="31" t="n"/>
      <c r="AT12" s="31" t="n"/>
      <c r="AU12" s="31" t="n"/>
      <c r="AV12" s="31" t="n"/>
    </row>
    <row r="13" ht="49.95" customHeight="1" s="13" thickBot="1">
      <c r="B13" s="5" t="n"/>
      <c r="C13" s="146" t="inlineStr">
        <is>
          <t>problème d'outillage</t>
        </is>
      </c>
      <c r="D13" s="275" t="n"/>
      <c r="E13" s="275" t="n"/>
      <c r="F13" s="275" t="n"/>
      <c r="G13" s="275" t="n"/>
      <c r="H13" s="275" t="n"/>
      <c r="I13" s="275" t="n"/>
      <c r="J13" s="275" t="n"/>
      <c r="K13" s="275" t="n"/>
      <c r="L13" s="275" t="n"/>
      <c r="M13" s="275" t="n"/>
      <c r="N13" s="275" t="n"/>
      <c r="O13" s="275" t="n"/>
      <c r="P13" s="275" t="n"/>
      <c r="Q13" s="275" t="n"/>
      <c r="R13" s="275" t="n"/>
      <c r="S13" s="275" t="n"/>
      <c r="T13" s="275" t="n"/>
      <c r="U13" s="275" t="n"/>
      <c r="V13" s="275" t="n"/>
      <c r="W13" s="275" t="n"/>
      <c r="X13" s="275" t="n"/>
      <c r="Y13" s="275" t="n"/>
      <c r="Z13" s="275" t="n"/>
      <c r="AA13" s="275" t="n"/>
      <c r="AB13" s="275" t="n"/>
      <c r="AC13" s="275" t="n"/>
      <c r="AD13" s="139" t="n"/>
      <c r="AH13" s="146" t="inlineStr">
        <is>
          <t>03-Services</t>
        </is>
      </c>
      <c r="AI13" s="275" t="n"/>
      <c r="AJ13" s="275" t="n"/>
      <c r="AK13" s="275" t="n"/>
      <c r="AL13" s="275" t="n"/>
      <c r="AM13" s="275" t="n"/>
      <c r="AN13" s="275" t="n"/>
      <c r="AO13" s="275" t="n"/>
      <c r="AP13" s="275" t="n"/>
      <c r="AQ13" s="148" t="n"/>
      <c r="AR13" s="270" t="n"/>
    </row>
    <row r="14" ht="7.95" customHeight="1" s="13">
      <c r="B14" s="276" t="n"/>
      <c r="AR14" s="270" t="n"/>
    </row>
    <row r="15" ht="15" customHeight="1" s="13">
      <c r="B15" s="113" t="inlineStr">
        <is>
          <t xml:space="preserve">Detected by: </t>
        </is>
      </c>
      <c r="I15" s="115" t="inlineStr">
        <is>
          <t xml:space="preserve">       Customer - client</t>
        </is>
      </c>
      <c r="N15" s="116" t="inlineStr">
        <is>
          <t xml:space="preserve">     Supplier - fournisseur</t>
        </is>
      </c>
      <c r="X15" s="138" t="inlineStr">
        <is>
          <t xml:space="preserve">     Internal – Interne</t>
        </is>
      </c>
      <c r="AL15" s="112" t="inlineStr">
        <is>
          <t>Name: - Nom</t>
        </is>
      </c>
      <c r="AR15" s="270" t="n"/>
    </row>
    <row r="16" ht="19.95" customHeight="1" s="13" thickBot="1">
      <c r="B16" s="274" t="n"/>
      <c r="I16" s="140" t="inlineStr">
        <is>
          <t>How</t>
        </is>
      </c>
      <c r="J16" s="272" t="n"/>
      <c r="K16" s="272" t="n"/>
      <c r="L16" s="272" t="n"/>
      <c r="M16" s="272" t="n"/>
      <c r="N16" s="140" t="inlineStr">
        <is>
          <t>How</t>
        </is>
      </c>
      <c r="O16" s="272" t="n"/>
      <c r="P16" s="272" t="n"/>
      <c r="Q16" s="272" t="n"/>
      <c r="R16" s="272" t="n"/>
      <c r="S16" s="272" t="n"/>
      <c r="T16" s="272" t="n"/>
      <c r="U16" s="272" t="n"/>
      <c r="V16" s="272" t="n"/>
      <c r="W16" s="272" t="n"/>
      <c r="X16" s="139" t="n"/>
      <c r="AL16" s="139" t="n"/>
      <c r="AN16" s="141" t="inlineStr">
        <is>
          <t>lorem</t>
        </is>
      </c>
      <c r="AO16" s="275" t="n"/>
      <c r="AP16" s="275" t="n"/>
      <c r="AQ16" s="112" t="n"/>
      <c r="AR16" s="270" t="n"/>
    </row>
    <row r="17" ht="4.95" customHeight="1" s="13" thickBot="1">
      <c r="B17" s="277" t="n"/>
      <c r="C17" s="231" t="n"/>
      <c r="D17" s="231" t="n"/>
      <c r="E17" s="231" t="n"/>
      <c r="F17" s="231" t="n"/>
      <c r="G17" s="231" t="n"/>
      <c r="H17" s="231" t="n"/>
      <c r="I17" s="231" t="n"/>
      <c r="J17" s="231" t="n"/>
      <c r="K17" s="231" t="n"/>
      <c r="L17" s="231" t="n"/>
      <c r="M17" s="231" t="n"/>
      <c r="N17" s="231" t="n"/>
      <c r="O17" s="231" t="n"/>
      <c r="P17" s="231" t="n"/>
      <c r="Q17" s="231" t="n"/>
      <c r="R17" s="231" t="n"/>
      <c r="S17" s="231" t="n"/>
      <c r="T17" s="231" t="n"/>
      <c r="U17" s="231" t="n"/>
      <c r="V17" s="231" t="n"/>
      <c r="W17" s="231" t="n"/>
      <c r="X17" s="231" t="n"/>
      <c r="Y17" s="231" t="n"/>
      <c r="Z17" s="231" t="n"/>
      <c r="AA17" s="231" t="n"/>
      <c r="AB17" s="231" t="n"/>
      <c r="AC17" s="231" t="n"/>
      <c r="AD17" s="231" t="n"/>
      <c r="AE17" s="231" t="n"/>
      <c r="AF17" s="231" t="n"/>
      <c r="AG17" s="231" t="n"/>
      <c r="AH17" s="231" t="n"/>
      <c r="AI17" s="231" t="n"/>
      <c r="AJ17" s="231" t="n"/>
      <c r="AK17" s="231" t="n"/>
      <c r="AL17" s="231" t="n"/>
      <c r="AM17" s="231" t="n"/>
      <c r="AN17" s="231" t="n"/>
      <c r="AO17" s="231" t="n"/>
      <c r="AP17" s="231" t="n"/>
      <c r="AQ17" s="231" t="n"/>
      <c r="AR17" s="265" t="n"/>
    </row>
    <row r="18" ht="15" customHeight="1" s="13" thickBot="1">
      <c r="B18" s="125" t="n"/>
      <c r="C18" s="258" t="n"/>
      <c r="D18" s="258" t="n"/>
      <c r="E18" s="258" t="n"/>
      <c r="F18" s="258" t="n"/>
      <c r="G18" s="258" t="n"/>
      <c r="H18" s="258" t="n"/>
      <c r="I18" s="258" t="n"/>
      <c r="J18" s="258" t="n"/>
      <c r="K18" s="258" t="n"/>
      <c r="L18" s="258" t="n"/>
      <c r="M18" s="258" t="n"/>
      <c r="N18" s="258" t="n"/>
      <c r="O18" s="258" t="n"/>
      <c r="P18" s="258" t="n"/>
      <c r="Q18" s="258" t="n"/>
      <c r="R18" s="258" t="n"/>
      <c r="S18" s="258" t="n"/>
      <c r="T18" s="258" t="n"/>
      <c r="U18" s="258" t="n"/>
      <c r="V18" s="258" t="n"/>
      <c r="W18" s="258" t="n"/>
      <c r="X18" s="258" t="n"/>
      <c r="Y18" s="258" t="n"/>
      <c r="Z18" s="258" t="n"/>
      <c r="AA18" s="258" t="n"/>
      <c r="AB18" s="258" t="n"/>
      <c r="AC18" s="258" t="n"/>
      <c r="AD18" s="258" t="n"/>
      <c r="AE18" s="258" t="n"/>
      <c r="AF18" s="258" t="n"/>
      <c r="AG18" s="258" t="n"/>
      <c r="AH18" s="258" t="n"/>
      <c r="AI18" s="258" t="n"/>
      <c r="AJ18" s="258" t="n"/>
      <c r="AK18" s="258" t="n"/>
      <c r="AL18" s="258" t="n"/>
      <c r="AM18" s="258" t="n"/>
      <c r="AN18" s="258" t="n"/>
      <c r="AO18" s="258" t="n"/>
      <c r="AP18" s="258" t="n"/>
      <c r="AQ18" s="258" t="n"/>
      <c r="AR18" s="258" t="n"/>
    </row>
    <row r="19" ht="30" customHeight="1" s="13">
      <c r="B19" s="278" t="inlineStr">
        <is>
          <t>SECTION 2: CURATIVE ACTIONS (IMMEDIATE) - Filled by the writer &amp; quality - A remplir par le rédacteur et la Qualité</t>
        </is>
      </c>
      <c r="C19" s="233" t="n"/>
      <c r="D19" s="233" t="n"/>
      <c r="E19" s="233" t="n"/>
      <c r="F19" s="233" t="n"/>
      <c r="G19" s="233" t="n"/>
      <c r="H19" s="233" t="n"/>
      <c r="I19" s="233" t="n"/>
      <c r="J19" s="233" t="n"/>
      <c r="K19" s="233" t="n"/>
      <c r="L19" s="233" t="n"/>
      <c r="M19" s="233" t="n"/>
      <c r="N19" s="233" t="n"/>
      <c r="O19" s="233" t="n"/>
      <c r="P19" s="233" t="n"/>
      <c r="Q19" s="233" t="n"/>
      <c r="R19" s="233" t="n"/>
      <c r="S19" s="233" t="n"/>
      <c r="T19" s="233" t="n"/>
      <c r="U19" s="233" t="n"/>
      <c r="V19" s="233" t="n"/>
      <c r="W19" s="233" t="n"/>
      <c r="X19" s="233" t="n"/>
      <c r="Y19" s="233" t="n"/>
      <c r="Z19" s="233" t="n"/>
      <c r="AA19" s="233" t="n"/>
      <c r="AB19" s="233" t="n"/>
      <c r="AC19" s="233" t="n"/>
      <c r="AD19" s="233" t="n"/>
      <c r="AE19" s="233" t="n"/>
      <c r="AF19" s="233" t="n"/>
      <c r="AG19" s="233" t="n"/>
      <c r="AH19" s="233" t="n"/>
      <c r="AI19" s="233" t="n"/>
      <c r="AJ19" s="233" t="n"/>
      <c r="AK19" s="233" t="n"/>
      <c r="AL19" s="233" t="n"/>
      <c r="AM19" s="233" t="n"/>
      <c r="AN19" s="233" t="n"/>
      <c r="AO19" s="233" t="n"/>
      <c r="AP19" s="233" t="n"/>
      <c r="AQ19" s="233" t="n"/>
      <c r="AR19" s="261" t="n"/>
    </row>
    <row r="20" ht="15" customHeight="1" s="13" thickBot="1">
      <c r="B20" s="279" t="inlineStr">
        <is>
          <t>N° Action</t>
        </is>
      </c>
      <c r="C20" s="231" t="n"/>
      <c r="D20" s="231" t="n"/>
      <c r="E20" s="231" t="n"/>
      <c r="F20" s="265" t="n"/>
      <c r="G20" s="279" t="inlineStr">
        <is>
          <t>Action description – Description de l’action</t>
        </is>
      </c>
      <c r="H20" s="231" t="n"/>
      <c r="I20" s="231" t="n"/>
      <c r="J20" s="231" t="n"/>
      <c r="K20" s="231" t="n"/>
      <c r="L20" s="231" t="n"/>
      <c r="M20" s="231" t="n"/>
      <c r="N20" s="231" t="n"/>
      <c r="O20" s="231" t="n"/>
      <c r="P20" s="231" t="n"/>
      <c r="Q20" s="231" t="n"/>
      <c r="R20" s="231" t="n"/>
      <c r="S20" s="231" t="n"/>
      <c r="T20" s="231" t="n"/>
      <c r="U20" s="231" t="n"/>
      <c r="V20" s="231" t="n"/>
      <c r="W20" s="231" t="n"/>
      <c r="X20" s="231" t="n"/>
      <c r="Y20" s="231" t="n"/>
      <c r="Z20" s="231" t="n"/>
      <c r="AA20" s="231" t="n"/>
      <c r="AB20" s="231" t="n"/>
      <c r="AC20" s="231" t="n"/>
      <c r="AD20" s="231" t="n"/>
      <c r="AE20" s="265" t="n"/>
      <c r="AF20" s="279" t="inlineStr">
        <is>
          <t>Responsible - Responsable</t>
        </is>
      </c>
      <c r="AG20" s="231" t="n"/>
      <c r="AH20" s="231" t="n"/>
      <c r="AI20" s="231" t="n"/>
      <c r="AJ20" s="231" t="n"/>
      <c r="AK20" s="231" t="n"/>
      <c r="AL20" s="231" t="n"/>
      <c r="AM20" s="231" t="n"/>
      <c r="AN20" s="231" t="n"/>
      <c r="AO20" s="265" t="n"/>
      <c r="AP20" s="279" t="inlineStr">
        <is>
          <t>Planned Date</t>
        </is>
      </c>
      <c r="AQ20" s="231" t="n"/>
      <c r="AR20" s="265" t="n"/>
    </row>
    <row r="21" ht="27" customHeight="1" s="13" thickBot="1">
      <c r="B21" s="280" t="n"/>
      <c r="C21" s="281" t="n"/>
      <c r="D21" s="281" t="n"/>
      <c r="E21" s="281" t="n"/>
      <c r="F21" s="282" t="n"/>
      <c r="G21" s="280" t="n"/>
      <c r="H21" s="281" t="n"/>
      <c r="I21" s="281" t="n"/>
      <c r="J21" s="281" t="n"/>
      <c r="K21" s="281" t="n"/>
      <c r="L21" s="281" t="n"/>
      <c r="M21" s="281" t="n"/>
      <c r="N21" s="281" t="n"/>
      <c r="O21" s="281" t="n"/>
      <c r="P21" s="281" t="n"/>
      <c r="Q21" s="281" t="n"/>
      <c r="R21" s="281" t="n"/>
      <c r="S21" s="281" t="n"/>
      <c r="T21" s="281" t="n"/>
      <c r="U21" s="281" t="n"/>
      <c r="V21" s="281" t="n"/>
      <c r="W21" s="281" t="n"/>
      <c r="X21" s="281" t="n"/>
      <c r="Y21" s="281" t="n"/>
      <c r="Z21" s="281" t="n"/>
      <c r="AA21" s="281" t="n"/>
      <c r="AB21" s="281" t="n"/>
      <c r="AC21" s="281" t="n"/>
      <c r="AD21" s="281" t="n"/>
      <c r="AE21" s="282" t="n"/>
      <c r="AF21" s="280" t="n"/>
      <c r="AG21" s="281" t="n"/>
      <c r="AH21" s="281" t="n"/>
      <c r="AI21" s="281" t="n"/>
      <c r="AJ21" s="281" t="n"/>
      <c r="AK21" s="281" t="n"/>
      <c r="AL21" s="281" t="n"/>
      <c r="AM21" s="281" t="n"/>
      <c r="AN21" s="281" t="n"/>
      <c r="AO21" s="282" t="n"/>
      <c r="AP21" s="283" t="inlineStr">
        <is>
          <t>Insert date</t>
        </is>
      </c>
      <c r="AQ21" s="281" t="n"/>
      <c r="AR21" s="282" t="n"/>
    </row>
    <row r="22" ht="27" customHeight="1" s="13" thickBot="1">
      <c r="B22" s="284" t="n"/>
      <c r="C22" s="281" t="n"/>
      <c r="D22" s="281" t="n"/>
      <c r="E22" s="281" t="n"/>
      <c r="F22" s="282" t="n"/>
      <c r="G22" s="284" t="n"/>
      <c r="H22" s="281" t="n"/>
      <c r="I22" s="281" t="n"/>
      <c r="J22" s="281" t="n"/>
      <c r="K22" s="281" t="n"/>
      <c r="L22" s="281" t="n"/>
      <c r="M22" s="281" t="n"/>
      <c r="N22" s="281" t="n"/>
      <c r="O22" s="281" t="n"/>
      <c r="P22" s="281" t="n"/>
      <c r="Q22" s="281" t="n"/>
      <c r="R22" s="281" t="n"/>
      <c r="S22" s="281" t="n"/>
      <c r="T22" s="281" t="n"/>
      <c r="U22" s="281" t="n"/>
      <c r="V22" s="281" t="n"/>
      <c r="W22" s="281" t="n"/>
      <c r="X22" s="281" t="n"/>
      <c r="Y22" s="281" t="n"/>
      <c r="Z22" s="281" t="n"/>
      <c r="AA22" s="281" t="n"/>
      <c r="AB22" s="281" t="n"/>
      <c r="AC22" s="281" t="n"/>
      <c r="AD22" s="281" t="n"/>
      <c r="AE22" s="282" t="n"/>
      <c r="AF22" s="284" t="n"/>
      <c r="AG22" s="281" t="n"/>
      <c r="AH22" s="281" t="n"/>
      <c r="AI22" s="281" t="n"/>
      <c r="AJ22" s="281" t="n"/>
      <c r="AK22" s="281" t="n"/>
      <c r="AL22" s="281" t="n"/>
      <c r="AM22" s="281" t="n"/>
      <c r="AN22" s="281" t="n"/>
      <c r="AO22" s="282" t="n"/>
      <c r="AP22" s="285" t="inlineStr">
        <is>
          <t>Insert date</t>
        </is>
      </c>
      <c r="AQ22" s="281" t="n"/>
      <c r="AR22" s="282" t="n"/>
    </row>
    <row r="23" ht="27" customHeight="1" s="13" thickBot="1">
      <c r="B23" s="284" t="n"/>
      <c r="C23" s="281" t="n"/>
      <c r="D23" s="281" t="n"/>
      <c r="E23" s="281" t="n"/>
      <c r="F23" s="282" t="n"/>
      <c r="G23" s="284" t="n"/>
      <c r="H23" s="281" t="n"/>
      <c r="I23" s="281" t="n"/>
      <c r="J23" s="281" t="n"/>
      <c r="K23" s="281" t="n"/>
      <c r="L23" s="281" t="n"/>
      <c r="M23" s="281" t="n"/>
      <c r="N23" s="281" t="n"/>
      <c r="O23" s="281" t="n"/>
      <c r="P23" s="281" t="n"/>
      <c r="Q23" s="281" t="n"/>
      <c r="R23" s="281" t="n"/>
      <c r="S23" s="281" t="n"/>
      <c r="T23" s="281" t="n"/>
      <c r="U23" s="281" t="n"/>
      <c r="V23" s="281" t="n"/>
      <c r="W23" s="281" t="n"/>
      <c r="X23" s="281" t="n"/>
      <c r="Y23" s="281" t="n"/>
      <c r="Z23" s="281" t="n"/>
      <c r="AA23" s="281" t="n"/>
      <c r="AB23" s="281" t="n"/>
      <c r="AC23" s="281" t="n"/>
      <c r="AD23" s="281" t="n"/>
      <c r="AE23" s="282" t="n"/>
      <c r="AF23" s="284" t="n"/>
      <c r="AG23" s="281" t="n"/>
      <c r="AH23" s="281" t="n"/>
      <c r="AI23" s="281" t="n"/>
      <c r="AJ23" s="281" t="n"/>
      <c r="AK23" s="281" t="n"/>
      <c r="AL23" s="281" t="n"/>
      <c r="AM23" s="281" t="n"/>
      <c r="AN23" s="281" t="n"/>
      <c r="AO23" s="282" t="n"/>
      <c r="AP23" s="285" t="inlineStr">
        <is>
          <t>Insert date</t>
        </is>
      </c>
      <c r="AQ23" s="281" t="n"/>
      <c r="AR23" s="282" t="n"/>
    </row>
    <row r="24" ht="15" customHeight="1" s="13">
      <c r="B24" s="117" t="inlineStr">
        <is>
          <t>The problem was solved in the very short term :</t>
        </is>
      </c>
      <c r="C24" s="233" t="n"/>
      <c r="D24" s="233" t="n"/>
      <c r="E24" s="233" t="n"/>
      <c r="F24" s="233" t="n"/>
      <c r="G24" s="233" t="n"/>
      <c r="H24" s="233" t="n"/>
      <c r="I24" s="233" t="n"/>
      <c r="J24" s="233" t="n"/>
      <c r="K24" s="233" t="n"/>
      <c r="L24" s="233" t="n"/>
      <c r="M24" s="233" t="n"/>
      <c r="N24" s="233" t="n"/>
      <c r="O24" s="233" t="n"/>
      <c r="P24" s="233" t="n"/>
      <c r="Q24" s="233" t="n"/>
      <c r="R24" s="233" t="n"/>
      <c r="S24" s="233" t="n"/>
      <c r="T24" s="233" t="n"/>
      <c r="U24" s="233" t="n"/>
      <c r="V24" s="233" t="n"/>
      <c r="W24" s="233" t="n"/>
      <c r="X24" s="233" t="n"/>
      <c r="Y24" s="169" t="inlineStr">
        <is>
          <t xml:space="preserve">   Yes - Oui</t>
        </is>
      </c>
      <c r="Z24" s="233" t="n"/>
      <c r="AA24" s="233" t="n"/>
      <c r="AB24" s="233" t="n"/>
      <c r="AC24" s="233" t="n"/>
      <c r="AD24" s="233" t="n"/>
      <c r="AE24" s="233" t="n"/>
      <c r="AF24" s="233" t="n"/>
      <c r="AG24" s="233" t="n"/>
      <c r="AH24" s="233" t="n"/>
      <c r="AI24" s="233" t="n"/>
      <c r="AJ24" s="233" t="n"/>
      <c r="AK24" s="233" t="n"/>
      <c r="AL24" s="171" t="inlineStr">
        <is>
          <t xml:space="preserve">   No - Non</t>
        </is>
      </c>
      <c r="AM24" s="233" t="n"/>
      <c r="AN24" s="233" t="n"/>
      <c r="AO24" s="233" t="n"/>
      <c r="AP24" s="233" t="n"/>
      <c r="AQ24" s="233" t="n"/>
      <c r="AR24" s="261" t="n"/>
    </row>
    <row r="25" ht="15" customHeight="1" s="13">
      <c r="B25" s="161" t="inlineStr">
        <is>
          <t>Le problème a été solutionné à très court terme</t>
        </is>
      </c>
      <c r="AR25" s="270" t="n"/>
    </row>
    <row r="26" ht="15" customHeight="1" s="13">
      <c r="B26" s="155" t="inlineStr">
        <is>
          <t>If Yes :
Si oui</t>
        </is>
      </c>
      <c r="E26" s="147" t="inlineStr">
        <is>
          <t>Date of assessment :</t>
        </is>
      </c>
      <c r="S26" s="147" t="inlineStr">
        <is>
          <t>Name of the assessor :</t>
        </is>
      </c>
      <c r="AC26" s="148" t="inlineStr">
        <is>
          <t>Position of the assessor :</t>
        </is>
      </c>
      <c r="AR26" s="270" t="n"/>
    </row>
    <row r="27" ht="21" customHeight="1" s="13" thickBot="1">
      <c r="B27" s="274" t="n"/>
      <c r="E27" s="139" t="n"/>
      <c r="H27" s="173" t="inlineStr">
        <is>
          <t>Assessment date</t>
        </is>
      </c>
      <c r="I27" s="275" t="n"/>
      <c r="J27" s="275" t="n"/>
      <c r="K27" s="275" t="n"/>
      <c r="L27" s="275" t="n"/>
      <c r="M27" s="275" t="n"/>
      <c r="N27" s="275" t="n"/>
      <c r="O27" s="275" t="n"/>
      <c r="P27" s="275" t="n"/>
      <c r="Q27" s="180" t="n"/>
      <c r="S27" s="139" t="n"/>
      <c r="T27" s="181" t="inlineStr">
        <is>
          <t>Assessor Name</t>
        </is>
      </c>
      <c r="U27" s="275" t="n"/>
      <c r="V27" s="275" t="n"/>
      <c r="W27" s="275" t="n"/>
      <c r="X27" s="275" t="n"/>
      <c r="Y27" s="275" t="n"/>
      <c r="Z27" s="275" t="n"/>
      <c r="AA27" s="275" t="n"/>
      <c r="AB27" s="139" t="n"/>
      <c r="AC27" s="139" t="n"/>
      <c r="AE27" s="181" t="inlineStr">
        <is>
          <t>Assessor Position</t>
        </is>
      </c>
      <c r="AF27" s="275" t="n"/>
      <c r="AG27" s="275" t="n"/>
      <c r="AH27" s="275" t="n"/>
      <c r="AI27" s="275" t="n"/>
      <c r="AJ27" s="275" t="n"/>
      <c r="AK27" s="275" t="n"/>
      <c r="AL27" s="275" t="n"/>
      <c r="AM27" s="275" t="n"/>
      <c r="AN27" s="275" t="n"/>
      <c r="AO27" s="275" t="n"/>
      <c r="AP27" s="275" t="n"/>
      <c r="AQ27" s="275" t="n"/>
      <c r="AR27" s="112" t="n"/>
    </row>
    <row r="28" ht="4.95" customHeight="1" s="13" thickBot="1">
      <c r="B28" s="277" t="n"/>
      <c r="C28" s="231" t="n"/>
      <c r="D28" s="231" t="n"/>
      <c r="E28" s="231" t="n"/>
      <c r="F28" s="231" t="n"/>
      <c r="G28" s="231" t="n"/>
      <c r="H28" s="231" t="n"/>
      <c r="I28" s="231" t="n"/>
      <c r="J28" s="231" t="n"/>
      <c r="K28" s="231" t="n"/>
      <c r="L28" s="231" t="n"/>
      <c r="M28" s="231" t="n"/>
      <c r="N28" s="231" t="n"/>
      <c r="O28" s="231" t="n"/>
      <c r="P28" s="231" t="n"/>
      <c r="Q28" s="231" t="n"/>
      <c r="R28" s="231" t="n"/>
      <c r="S28" s="231" t="n"/>
      <c r="T28" s="231" t="n"/>
      <c r="U28" s="231" t="n"/>
      <c r="V28" s="231" t="n"/>
      <c r="W28" s="231" t="n"/>
      <c r="X28" s="231" t="n"/>
      <c r="Y28" s="231" t="n"/>
      <c r="Z28" s="231" t="n"/>
      <c r="AA28" s="231" t="n"/>
      <c r="AB28" s="231" t="n"/>
      <c r="AC28" s="231" t="n"/>
      <c r="AD28" s="231" t="n"/>
      <c r="AE28" s="231" t="n"/>
      <c r="AF28" s="231" t="n"/>
      <c r="AG28" s="231" t="n"/>
      <c r="AH28" s="231" t="n"/>
      <c r="AI28" s="231" t="n"/>
      <c r="AJ28" s="231" t="n"/>
      <c r="AK28" s="231" t="n"/>
      <c r="AL28" s="231" t="n"/>
      <c r="AM28" s="231" t="n"/>
      <c r="AN28" s="231" t="n"/>
      <c r="AO28" s="231" t="n"/>
      <c r="AP28" s="231" t="n"/>
      <c r="AQ28" s="231" t="n"/>
      <c r="AR28" s="265" t="n"/>
    </row>
    <row r="29" ht="15" customHeight="1" s="13" thickBot="1">
      <c r="B29" s="125" t="n"/>
      <c r="C29" s="258" t="n"/>
      <c r="D29" s="258" t="n"/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8" t="n"/>
      <c r="N29" s="258" t="n"/>
      <c r="O29" s="258" t="n"/>
      <c r="P29" s="258" t="n"/>
      <c r="Q29" s="258" t="n"/>
      <c r="R29" s="258" t="n"/>
      <c r="S29" s="258" t="n"/>
      <c r="T29" s="258" t="n"/>
      <c r="U29" s="258" t="n"/>
      <c r="V29" s="258" t="n"/>
      <c r="W29" s="258" t="n"/>
      <c r="X29" s="258" t="n"/>
      <c r="Y29" s="258" t="n"/>
      <c r="Z29" s="258" t="n"/>
      <c r="AA29" s="258" t="n"/>
      <c r="AB29" s="258" t="n"/>
      <c r="AC29" s="258" t="n"/>
      <c r="AD29" s="258" t="n"/>
      <c r="AE29" s="258" t="n"/>
      <c r="AF29" s="258" t="n"/>
      <c r="AG29" s="258" t="n"/>
      <c r="AH29" s="258" t="n"/>
      <c r="AI29" s="258" t="n"/>
      <c r="AJ29" s="258" t="n"/>
      <c r="AK29" s="258" t="n"/>
      <c r="AL29" s="258" t="n"/>
      <c r="AM29" s="258" t="n"/>
      <c r="AN29" s="258" t="n"/>
      <c r="AO29" s="258" t="n"/>
      <c r="AP29" s="258" t="n"/>
      <c r="AQ29" s="258" t="n"/>
      <c r="AR29" s="258" t="n"/>
    </row>
    <row r="30" ht="30" customHeight="1" s="13">
      <c r="B30" s="278" t="inlineStr">
        <is>
          <t>SECTION 3: NC ANALYSIS – Filled by quality department – A remplir par le service qualité</t>
        </is>
      </c>
      <c r="C30" s="233" t="n"/>
      <c r="D30" s="233" t="n"/>
      <c r="E30" s="233" t="n"/>
      <c r="F30" s="233" t="n"/>
      <c r="G30" s="233" t="n"/>
      <c r="H30" s="233" t="n"/>
      <c r="I30" s="233" t="n"/>
      <c r="J30" s="233" t="n"/>
      <c r="K30" s="233" t="n"/>
      <c r="L30" s="233" t="n"/>
      <c r="M30" s="233" t="n"/>
      <c r="N30" s="233" t="n"/>
      <c r="O30" s="233" t="n"/>
      <c r="P30" s="233" t="n"/>
      <c r="Q30" s="233" t="n"/>
      <c r="R30" s="233" t="n"/>
      <c r="S30" s="233" t="n"/>
      <c r="T30" s="233" t="n"/>
      <c r="U30" s="233" t="n"/>
      <c r="V30" s="233" t="n"/>
      <c r="W30" s="233" t="n"/>
      <c r="X30" s="233" t="n"/>
      <c r="Y30" s="233" t="n"/>
      <c r="Z30" s="233" t="n"/>
      <c r="AA30" s="233" t="n"/>
      <c r="AB30" s="233" t="n"/>
      <c r="AC30" s="233" t="n"/>
      <c r="AD30" s="233" t="n"/>
      <c r="AE30" s="233" t="n"/>
      <c r="AF30" s="233" t="n"/>
      <c r="AG30" s="233" t="n"/>
      <c r="AH30" s="233" t="n"/>
      <c r="AI30" s="233" t="n"/>
      <c r="AJ30" s="233" t="n"/>
      <c r="AK30" s="233" t="n"/>
      <c r="AL30" s="233" t="n"/>
      <c r="AM30" s="233" t="n"/>
      <c r="AN30" s="233" t="n"/>
      <c r="AO30" s="233" t="n"/>
      <c r="AP30" s="233" t="n"/>
      <c r="AQ30" s="233" t="n"/>
      <c r="AR30" s="261" t="n"/>
    </row>
    <row r="31" ht="15" customHeight="1" s="13">
      <c r="B31" s="217" t="inlineStr">
        <is>
          <t>CRITICALITY :
Déterminer la criticité du problème</t>
        </is>
      </c>
      <c r="J31" s="215" t="inlineStr">
        <is>
          <t>SEVERITY</t>
        </is>
      </c>
      <c r="P31" s="215" t="inlineStr">
        <is>
          <t>OCCURENCE</t>
        </is>
      </c>
      <c r="V31" s="215" t="inlineStr">
        <is>
          <t>DETECTABILITY</t>
        </is>
      </c>
      <c r="AH31" s="178" t="inlineStr">
        <is>
          <t>VALUE OF CRITICALITY</t>
        </is>
      </c>
      <c r="AR31" s="270" t="n"/>
    </row>
    <row r="32" ht="30" customHeight="1" s="13" thickBot="1">
      <c r="B32" s="274" t="n"/>
      <c r="J32" s="179" t="inlineStr">
        <is>
          <t>4-Marginale</t>
        </is>
      </c>
      <c r="K32" s="272" t="n"/>
      <c r="L32" s="272" t="n"/>
      <c r="M32" s="272" t="n"/>
      <c r="N32" s="272" t="n"/>
      <c r="O32" s="272" t="n"/>
      <c r="P32" s="179" t="inlineStr">
        <is>
          <t>5-Probable</t>
        </is>
      </c>
      <c r="Q32" s="272" t="n"/>
      <c r="R32" s="272" t="n"/>
      <c r="S32" s="272" t="n"/>
      <c r="T32" s="272" t="n"/>
      <c r="U32" s="272" t="n"/>
      <c r="V32" s="179" t="inlineStr">
        <is>
          <t>2-Quasi-permanante</t>
        </is>
      </c>
      <c r="W32" s="272" t="n"/>
      <c r="X32" s="272" t="n"/>
      <c r="Y32" s="272" t="n"/>
      <c r="Z32" s="272" t="n"/>
      <c r="AA32" s="272" t="n"/>
      <c r="AB32" s="272" t="n"/>
      <c r="AC32" s="272" t="n"/>
      <c r="AD32" s="272" t="n"/>
      <c r="AE32" s="272" t="n"/>
      <c r="AF32" s="272" t="n"/>
      <c r="AG32" s="272" t="n"/>
      <c r="AH32" s="215" t="n"/>
      <c r="AK32" s="146" t="n">
        <v>157</v>
      </c>
      <c r="AL32" s="275" t="n"/>
      <c r="AM32" s="275" t="n"/>
      <c r="AN32" s="275" t="n"/>
      <c r="AO32" s="275" t="n"/>
      <c r="AP32" s="275" t="n"/>
      <c r="AQ32" s="178" t="n"/>
      <c r="AR32" s="270" t="n"/>
    </row>
    <row r="33" ht="4.95" customHeight="1" s="13" thickBot="1">
      <c r="B33" s="277" t="n"/>
      <c r="C33" s="231" t="n"/>
      <c r="D33" s="231" t="n"/>
      <c r="E33" s="231" t="n"/>
      <c r="F33" s="231" t="n"/>
      <c r="G33" s="231" t="n"/>
      <c r="H33" s="231" t="n"/>
      <c r="I33" s="231" t="n"/>
      <c r="J33" s="231" t="n"/>
      <c r="K33" s="231" t="n"/>
      <c r="L33" s="231" t="n"/>
      <c r="M33" s="231" t="n"/>
      <c r="N33" s="231" t="n"/>
      <c r="O33" s="231" t="n"/>
      <c r="P33" s="231" t="n"/>
      <c r="Q33" s="231" t="n"/>
      <c r="R33" s="231" t="n"/>
      <c r="S33" s="231" t="n"/>
      <c r="T33" s="231" t="n"/>
      <c r="U33" s="231" t="n"/>
      <c r="V33" s="231" t="n"/>
      <c r="W33" s="231" t="n"/>
      <c r="X33" s="231" t="n"/>
      <c r="Y33" s="231" t="n"/>
      <c r="Z33" s="231" t="n"/>
      <c r="AA33" s="231" t="n"/>
      <c r="AB33" s="231" t="n"/>
      <c r="AC33" s="231" t="n"/>
      <c r="AD33" s="231" t="n"/>
      <c r="AE33" s="231" t="n"/>
      <c r="AF33" s="231" t="n"/>
      <c r="AG33" s="231" t="n"/>
      <c r="AH33" s="231" t="n"/>
      <c r="AI33" s="231" t="n"/>
      <c r="AJ33" s="231" t="n"/>
      <c r="AK33" s="231" t="n"/>
      <c r="AL33" s="231" t="n"/>
      <c r="AM33" s="231" t="n"/>
      <c r="AN33" s="231" t="n"/>
      <c r="AO33" s="231" t="n"/>
      <c r="AP33" s="231" t="n"/>
      <c r="AQ33" s="231" t="n"/>
      <c r="AR33" s="265" t="n"/>
    </row>
    <row r="34" ht="15" customHeight="1" s="13" thickBot="1">
      <c r="B34" s="125" t="n"/>
      <c r="C34" s="258" t="n"/>
      <c r="D34" s="258" t="n"/>
      <c r="E34" s="258" t="n"/>
      <c r="F34" s="258" t="n"/>
      <c r="G34" s="258" t="n"/>
      <c r="H34" s="258" t="n"/>
      <c r="I34" s="258" t="n"/>
      <c r="J34" s="258" t="n"/>
      <c r="K34" s="258" t="n"/>
      <c r="L34" s="258" t="n"/>
      <c r="M34" s="258" t="n"/>
      <c r="N34" s="258" t="n"/>
      <c r="O34" s="258" t="n"/>
      <c r="P34" s="258" t="n"/>
      <c r="Q34" s="258" t="n"/>
      <c r="R34" s="258" t="n"/>
      <c r="S34" s="258" t="n"/>
      <c r="T34" s="258" t="n"/>
      <c r="U34" s="258" t="n"/>
      <c r="V34" s="258" t="n"/>
      <c r="W34" s="258" t="n"/>
      <c r="X34" s="258" t="n"/>
      <c r="Y34" s="258" t="n"/>
      <c r="Z34" s="258" t="n"/>
      <c r="AA34" s="258" t="n"/>
      <c r="AB34" s="258" t="n"/>
      <c r="AC34" s="258" t="n"/>
      <c r="AD34" s="258" t="n"/>
      <c r="AE34" s="258" t="n"/>
      <c r="AF34" s="258" t="n"/>
      <c r="AG34" s="258" t="n"/>
      <c r="AH34" s="258" t="n"/>
      <c r="AI34" s="258" t="n"/>
      <c r="AJ34" s="258" t="n"/>
      <c r="AK34" s="258" t="n"/>
      <c r="AL34" s="258" t="n"/>
      <c r="AM34" s="258" t="n"/>
      <c r="AN34" s="258" t="n"/>
      <c r="AO34" s="258" t="n"/>
      <c r="AP34" s="258" t="n"/>
      <c r="AQ34" s="258" t="n"/>
      <c r="AR34" s="258" t="n"/>
    </row>
    <row r="35" ht="30" customHeight="1" s="13">
      <c r="B35" s="278" t="inlineStr">
        <is>
          <t>SECTION 4: ROOT CAUSES SEARCH – Filled by quality department – A remplir par le service qualité</t>
        </is>
      </c>
      <c r="C35" s="233" t="n"/>
      <c r="D35" s="233" t="n"/>
      <c r="E35" s="233" t="n"/>
      <c r="F35" s="233" t="n"/>
      <c r="G35" s="233" t="n"/>
      <c r="H35" s="233" t="n"/>
      <c r="I35" s="233" t="n"/>
      <c r="J35" s="233" t="n"/>
      <c r="K35" s="233" t="n"/>
      <c r="L35" s="233" t="n"/>
      <c r="M35" s="233" t="n"/>
      <c r="N35" s="233" t="n"/>
      <c r="O35" s="233" t="n"/>
      <c r="P35" s="233" t="n"/>
      <c r="Q35" s="233" t="n"/>
      <c r="R35" s="233" t="n"/>
      <c r="S35" s="233" t="n"/>
      <c r="T35" s="233" t="n"/>
      <c r="U35" s="233" t="n"/>
      <c r="V35" s="233" t="n"/>
      <c r="W35" s="233" t="n"/>
      <c r="X35" s="233" t="n"/>
      <c r="Y35" s="233" t="n"/>
      <c r="Z35" s="233" t="n"/>
      <c r="AA35" s="233" t="n"/>
      <c r="AB35" s="233" t="n"/>
      <c r="AC35" s="233" t="n"/>
      <c r="AD35" s="233" t="n"/>
      <c r="AE35" s="233" t="n"/>
      <c r="AF35" s="233" t="n"/>
      <c r="AG35" s="233" t="n"/>
      <c r="AH35" s="233" t="n"/>
      <c r="AI35" s="233" t="n"/>
      <c r="AJ35" s="233" t="n"/>
      <c r="AK35" s="233" t="n"/>
      <c r="AL35" s="233" t="n"/>
      <c r="AM35" s="233" t="n"/>
      <c r="AN35" s="233" t="n"/>
      <c r="AO35" s="233" t="n"/>
      <c r="AP35" s="233" t="n"/>
      <c r="AQ35" s="233" t="n"/>
      <c r="AR35" s="261" t="n"/>
    </row>
    <row r="36" ht="30" customHeight="1" s="13">
      <c r="B36" s="286" t="inlineStr">
        <is>
          <t xml:space="preserve">      Multi-Functional Team : Discussion &amp; Consensus – Équipe multifonctionnelle discussion et consensus</t>
        </is>
      </c>
      <c r="AR36" s="270" t="n"/>
    </row>
    <row r="37" ht="15" customHeight="1" s="13">
      <c r="B37" s="167" t="n"/>
      <c r="C37" s="143" t="inlineStr">
        <is>
          <t>Summary &amp; root causes – Résumé et causes racines</t>
        </is>
      </c>
      <c r="AR37" s="270" t="n"/>
    </row>
    <row r="38" ht="60.6" customHeight="1" s="13" thickBot="1">
      <c r="B38" s="193" t="n"/>
      <c r="C38" s="183" t="n"/>
      <c r="D38" s="182" t="inlineStr">
        <is>
          <t>mft</t>
        </is>
      </c>
      <c r="E38" s="275" t="n"/>
      <c r="F38" s="275" t="n"/>
      <c r="G38" s="275" t="n"/>
      <c r="H38" s="275" t="n"/>
      <c r="I38" s="275" t="n"/>
      <c r="J38" s="275" t="n"/>
      <c r="K38" s="275" t="n"/>
      <c r="L38" s="275" t="n"/>
      <c r="M38" s="275" t="n"/>
      <c r="N38" s="275" t="n"/>
      <c r="O38" s="275" t="n"/>
      <c r="P38" s="275" t="n"/>
      <c r="Q38" s="275" t="n"/>
      <c r="R38" s="275" t="n"/>
      <c r="S38" s="275" t="n"/>
      <c r="T38" s="275" t="n"/>
      <c r="U38" s="275" t="n"/>
      <c r="V38" s="275" t="n"/>
      <c r="W38" s="275" t="n"/>
      <c r="X38" s="275" t="n"/>
      <c r="Y38" s="275" t="n"/>
      <c r="Z38" s="275" t="n"/>
      <c r="AA38" s="275" t="n"/>
      <c r="AB38" s="275" t="n"/>
      <c r="AC38" s="275" t="n"/>
      <c r="AD38" s="275" t="n"/>
      <c r="AE38" s="275" t="n"/>
      <c r="AF38" s="275" t="n"/>
      <c r="AG38" s="275" t="n"/>
      <c r="AH38" s="275" t="n"/>
      <c r="AI38" s="275" t="n"/>
      <c r="AJ38" s="275" t="n"/>
      <c r="AK38" s="275" t="n"/>
      <c r="AL38" s="275" t="n"/>
      <c r="AM38" s="275" t="n"/>
      <c r="AN38" s="275" t="n"/>
      <c r="AO38" s="275" t="n"/>
      <c r="AP38" s="275" t="n"/>
      <c r="AQ38" s="184" t="n"/>
      <c r="AR38" s="270" t="n"/>
    </row>
    <row r="39" ht="30" customHeight="1" s="13">
      <c r="B39" s="167" t="inlineStr">
        <is>
          <t xml:space="preserve">     5 Why – 5 Pourquoi</t>
        </is>
      </c>
      <c r="K39" s="219" t="inlineStr">
        <is>
          <t>Cause 1</t>
        </is>
      </c>
      <c r="L39" s="287" t="n"/>
      <c r="M39" s="287" t="n"/>
      <c r="N39" s="287" t="n"/>
      <c r="O39" s="287" t="n"/>
      <c r="P39" s="287" t="n"/>
      <c r="Q39" s="287" t="n"/>
      <c r="R39" s="287" t="n"/>
      <c r="S39" s="219" t="inlineStr">
        <is>
          <t>Cause 2</t>
        </is>
      </c>
      <c r="T39" s="287" t="n"/>
      <c r="U39" s="287" t="n"/>
      <c r="V39" s="287" t="n"/>
      <c r="W39" s="287" t="n"/>
      <c r="X39" s="287" t="n"/>
      <c r="Y39" s="287" t="n"/>
      <c r="Z39" s="219" t="inlineStr">
        <is>
          <t>Cause 3</t>
        </is>
      </c>
      <c r="AA39" s="287" t="n"/>
      <c r="AB39" s="287" t="n"/>
      <c r="AC39" s="287" t="n"/>
      <c r="AD39" s="287" t="n"/>
      <c r="AE39" s="287" t="n"/>
      <c r="AF39" s="287" t="n"/>
      <c r="AG39" s="287" t="n"/>
      <c r="AH39" s="287" t="n"/>
      <c r="AI39" s="287" t="n"/>
      <c r="AJ39" s="287" t="n"/>
      <c r="AK39" s="287" t="n"/>
      <c r="AL39" s="287" t="n"/>
      <c r="AM39" s="287" t="n"/>
      <c r="AN39" s="158" t="inlineStr">
        <is>
          <t>Cause 4</t>
        </is>
      </c>
      <c r="AO39" s="272" t="n"/>
      <c r="AP39" s="272" t="n"/>
      <c r="AQ39" s="272" t="n"/>
      <c r="AR39" s="273" t="n"/>
    </row>
    <row r="40" ht="19.95" customHeight="1" s="13">
      <c r="B40" s="193" t="n"/>
      <c r="C40" s="149" t="inlineStr">
        <is>
          <t xml:space="preserve">Root causes : </t>
        </is>
      </c>
      <c r="K40" s="195" t="inlineStr">
        <is>
          <t>5why</t>
        </is>
      </c>
      <c r="L40" s="272" t="n"/>
      <c r="M40" s="272" t="n"/>
      <c r="N40" s="272" t="n"/>
      <c r="O40" s="272" t="n"/>
      <c r="P40" s="272" t="n"/>
      <c r="Q40" s="272" t="n"/>
      <c r="R40" s="272" t="n"/>
      <c r="S40" s="272" t="n"/>
      <c r="T40" s="272" t="n"/>
      <c r="U40" s="272" t="n"/>
      <c r="V40" s="272" t="n"/>
      <c r="W40" s="272" t="n"/>
      <c r="X40" s="272" t="n"/>
      <c r="Y40" s="272" t="n"/>
      <c r="Z40" s="272" t="n"/>
      <c r="AA40" s="272" t="n"/>
      <c r="AB40" s="272" t="n"/>
      <c r="AC40" s="272" t="n"/>
      <c r="AD40" s="272" t="n"/>
      <c r="AE40" s="272" t="n"/>
      <c r="AF40" s="272" t="n"/>
      <c r="AG40" s="272" t="n"/>
      <c r="AH40" s="272" t="n"/>
      <c r="AI40" s="272" t="n"/>
      <c r="AJ40" s="272" t="n"/>
      <c r="AK40" s="272" t="n"/>
      <c r="AL40" s="272" t="n"/>
      <c r="AM40" s="272" t="n"/>
      <c r="AN40" s="272" t="n"/>
      <c r="AO40" s="272" t="n"/>
      <c r="AP40" s="272" t="n"/>
      <c r="AQ40" s="184" t="n"/>
      <c r="AR40" s="270" t="n"/>
    </row>
    <row r="41" ht="19.95" customHeight="1" s="13" thickBot="1">
      <c r="B41" s="274" t="n"/>
      <c r="C41" s="162" t="inlineStr">
        <is>
          <t>Causes racines</t>
        </is>
      </c>
      <c r="K41" s="275" t="n"/>
      <c r="L41" s="275" t="n"/>
      <c r="M41" s="275" t="n"/>
      <c r="N41" s="275" t="n"/>
      <c r="O41" s="275" t="n"/>
      <c r="P41" s="275" t="n"/>
      <c r="Q41" s="275" t="n"/>
      <c r="R41" s="275" t="n"/>
      <c r="S41" s="275" t="n"/>
      <c r="T41" s="275" t="n"/>
      <c r="U41" s="275" t="n"/>
      <c r="V41" s="275" t="n"/>
      <c r="W41" s="275" t="n"/>
      <c r="X41" s="275" t="n"/>
      <c r="Y41" s="275" t="n"/>
      <c r="Z41" s="275" t="n"/>
      <c r="AA41" s="275" t="n"/>
      <c r="AB41" s="275" t="n"/>
      <c r="AC41" s="275" t="n"/>
      <c r="AD41" s="275" t="n"/>
      <c r="AE41" s="275" t="n"/>
      <c r="AF41" s="275" t="n"/>
      <c r="AG41" s="275" t="n"/>
      <c r="AH41" s="275" t="n"/>
      <c r="AI41" s="275" t="n"/>
      <c r="AJ41" s="275" t="n"/>
      <c r="AK41" s="275" t="n"/>
      <c r="AL41" s="275" t="n"/>
      <c r="AM41" s="275" t="n"/>
      <c r="AN41" s="275" t="n"/>
      <c r="AO41" s="275" t="n"/>
      <c r="AP41" s="275" t="n"/>
      <c r="AR41" s="270" t="n"/>
    </row>
    <row r="42" ht="15" customHeight="1" s="13" thickBot="1">
      <c r="B42" s="288" t="n"/>
      <c r="C42" s="231" t="n"/>
      <c r="D42" s="231" t="n"/>
      <c r="E42" s="231" t="n"/>
      <c r="F42" s="231" t="n"/>
      <c r="G42" s="231" t="n"/>
      <c r="H42" s="231" t="n"/>
      <c r="I42" s="231" t="n"/>
      <c r="J42" s="231" t="n"/>
      <c r="K42" s="231" t="n"/>
      <c r="L42" s="231" t="n"/>
      <c r="M42" s="231" t="n"/>
      <c r="N42" s="231" t="n"/>
      <c r="O42" s="231" t="n"/>
      <c r="P42" s="231" t="n"/>
      <c r="Q42" s="231" t="n"/>
      <c r="R42" s="231" t="n"/>
      <c r="S42" s="231" t="n"/>
      <c r="T42" s="231" t="n"/>
      <c r="U42" s="231" t="n"/>
      <c r="V42" s="231" t="n"/>
      <c r="W42" s="231" t="n"/>
      <c r="X42" s="231" t="n"/>
      <c r="Y42" s="231" t="n"/>
      <c r="Z42" s="231" t="n"/>
      <c r="AA42" s="231" t="n"/>
      <c r="AB42" s="231" t="n"/>
      <c r="AC42" s="231" t="n"/>
      <c r="AD42" s="231" t="n"/>
      <c r="AE42" s="231" t="n"/>
      <c r="AF42" s="231" t="n"/>
      <c r="AG42" s="231" t="n"/>
      <c r="AH42" s="231" t="n"/>
      <c r="AI42" s="231" t="n"/>
      <c r="AJ42" s="231" t="n"/>
      <c r="AK42" s="231" t="n"/>
      <c r="AL42" s="231" t="n"/>
      <c r="AM42" s="231" t="n"/>
      <c r="AN42" s="231" t="n"/>
      <c r="AO42" s="231" t="n"/>
      <c r="AP42" s="231" t="n"/>
      <c r="AQ42" s="231" t="n"/>
      <c r="AR42" s="265" t="n"/>
    </row>
    <row r="43" ht="19.2" customHeight="1" s="13" thickBot="1">
      <c r="B43" s="199" t="n"/>
      <c r="C43" s="231" t="n"/>
      <c r="D43" s="231" t="n"/>
      <c r="E43" s="231" t="n"/>
      <c r="F43" s="231" t="n"/>
      <c r="G43" s="231" t="n"/>
      <c r="H43" s="231" t="n"/>
      <c r="I43" s="231" t="n"/>
      <c r="J43" s="231" t="n"/>
      <c r="K43" s="231" t="n"/>
      <c r="L43" s="231" t="n"/>
      <c r="M43" s="231" t="n"/>
      <c r="N43" s="231" t="n"/>
      <c r="O43" s="231" t="n"/>
      <c r="P43" s="231" t="n"/>
      <c r="Q43" s="231" t="n"/>
      <c r="R43" s="231" t="n"/>
      <c r="S43" s="231" t="n"/>
      <c r="T43" s="231" t="n"/>
      <c r="U43" s="231" t="n"/>
      <c r="V43" s="231" t="n"/>
      <c r="W43" s="231" t="n"/>
      <c r="X43" s="231" t="n"/>
      <c r="Y43" s="231" t="n"/>
      <c r="Z43" s="231" t="n"/>
      <c r="AA43" s="231" t="n"/>
      <c r="AB43" s="231" t="n"/>
      <c r="AC43" s="231" t="n"/>
      <c r="AD43" s="231" t="n"/>
      <c r="AE43" s="231" t="n"/>
      <c r="AF43" s="231" t="n"/>
      <c r="AG43" s="231" t="n"/>
      <c r="AH43" s="231" t="n"/>
      <c r="AI43" s="231" t="n"/>
      <c r="AJ43" s="231" t="n"/>
      <c r="AK43" s="231" t="n"/>
      <c r="AL43" s="231" t="n"/>
      <c r="AM43" s="231" t="n"/>
      <c r="AN43" s="231" t="n"/>
      <c r="AO43" s="231" t="n"/>
      <c r="AP43" s="231" t="n"/>
      <c r="AQ43" s="231" t="n"/>
      <c r="AR43" s="231" t="n"/>
    </row>
    <row r="44" ht="30" customHeight="1" s="13">
      <c r="B44" s="286" t="inlineStr">
        <is>
          <t xml:space="preserve">     Ishikawa diagram – Diagramme d’Ishikawa</t>
        </is>
      </c>
      <c r="AR44" s="270" t="n"/>
    </row>
    <row r="45" ht="15" customHeight="1" s="13">
      <c r="B45" s="289" t="inlineStr">
        <is>
          <t>Environnement – Milieu</t>
        </is>
      </c>
      <c r="O45" s="270" t="n"/>
      <c r="P45" s="289" t="inlineStr">
        <is>
          <t>Process - Méthode</t>
        </is>
      </c>
      <c r="AF45" s="270" t="n"/>
      <c r="AG45" s="289" t="inlineStr">
        <is>
          <t>Equipement - Matériel</t>
        </is>
      </c>
      <c r="AR45" s="270" t="n"/>
    </row>
    <row r="46" ht="70.05" customHeight="1" s="13" thickBot="1">
      <c r="B46" s="290" t="n"/>
      <c r="C46" s="272" t="n"/>
      <c r="D46" s="272" t="n"/>
      <c r="E46" s="272" t="n"/>
      <c r="F46" s="272" t="n"/>
      <c r="G46" s="272" t="n"/>
      <c r="H46" s="272" t="n"/>
      <c r="I46" s="272" t="n"/>
      <c r="J46" s="272" t="n"/>
      <c r="K46" s="272" t="n"/>
      <c r="L46" s="272" t="n"/>
      <c r="M46" s="272" t="n"/>
      <c r="N46" s="272" t="n"/>
      <c r="O46" s="273" t="n"/>
      <c r="P46" s="290" t="n"/>
      <c r="Q46" s="272" t="n"/>
      <c r="R46" s="272" t="n"/>
      <c r="S46" s="272" t="n"/>
      <c r="T46" s="272" t="n"/>
      <c r="U46" s="272" t="n"/>
      <c r="V46" s="272" t="n"/>
      <c r="W46" s="272" t="n"/>
      <c r="X46" s="272" t="n"/>
      <c r="Y46" s="272" t="n"/>
      <c r="Z46" s="272" t="n"/>
      <c r="AA46" s="272" t="n"/>
      <c r="AB46" s="272" t="n"/>
      <c r="AC46" s="272" t="n"/>
      <c r="AD46" s="272" t="n"/>
      <c r="AE46" s="272" t="n"/>
      <c r="AF46" s="273" t="n"/>
      <c r="AG46" s="290" t="n"/>
      <c r="AH46" s="272" t="n"/>
      <c r="AI46" s="272" t="n"/>
      <c r="AJ46" s="272" t="n"/>
      <c r="AK46" s="272" t="n"/>
      <c r="AL46" s="272" t="n"/>
      <c r="AM46" s="272" t="n"/>
      <c r="AN46" s="272" t="n"/>
      <c r="AO46" s="272" t="n"/>
      <c r="AP46" s="272" t="n"/>
      <c r="AQ46" s="272" t="n"/>
      <c r="AR46" s="273" t="n"/>
    </row>
    <row r="47" ht="59.4" customHeight="1" s="13" thickBot="1">
      <c r="B47" s="200" t="n"/>
      <c r="AO47" s="203" t="inlineStr">
        <is>
          <t>Problem / NC</t>
        </is>
      </c>
      <c r="AP47" s="281" t="n"/>
      <c r="AQ47" s="281" t="n"/>
      <c r="AR47" s="282" t="n"/>
    </row>
    <row r="48" ht="15" customHeight="1" s="13">
      <c r="B48" s="289" t="inlineStr">
        <is>
          <t>Management</t>
        </is>
      </c>
      <c r="O48" s="270" t="n"/>
      <c r="P48" s="289" t="inlineStr">
        <is>
          <t>Materials - Matière</t>
        </is>
      </c>
      <c r="AF48" s="270" t="n"/>
      <c r="AG48" s="289" t="inlineStr">
        <is>
          <t>People – Main d’œuvre</t>
        </is>
      </c>
      <c r="AR48" s="270" t="n"/>
    </row>
    <row r="49" ht="70.05" customHeight="1" s="13">
      <c r="B49" s="290" t="n"/>
      <c r="C49" s="272" t="n"/>
      <c r="D49" s="272" t="n"/>
      <c r="E49" s="272" t="n"/>
      <c r="F49" s="272" t="n"/>
      <c r="G49" s="272" t="n"/>
      <c r="H49" s="272" t="n"/>
      <c r="I49" s="272" t="n"/>
      <c r="J49" s="272" t="n"/>
      <c r="K49" s="272" t="n"/>
      <c r="L49" s="272" t="n"/>
      <c r="M49" s="272" t="n"/>
      <c r="N49" s="272" t="n"/>
      <c r="O49" s="273" t="n"/>
      <c r="P49" s="290" t="n"/>
      <c r="Q49" s="272" t="n"/>
      <c r="R49" s="272" t="n"/>
      <c r="S49" s="272" t="n"/>
      <c r="T49" s="272" t="n"/>
      <c r="U49" s="272" t="n"/>
      <c r="V49" s="272" t="n"/>
      <c r="W49" s="272" t="n"/>
      <c r="X49" s="272" t="n"/>
      <c r="Y49" s="272" t="n"/>
      <c r="Z49" s="272" t="n"/>
      <c r="AA49" s="272" t="n"/>
      <c r="AB49" s="272" t="n"/>
      <c r="AC49" s="272" t="n"/>
      <c r="AD49" s="272" t="n"/>
      <c r="AE49" s="272" t="n"/>
      <c r="AF49" s="273" t="n"/>
      <c r="AG49" s="290" t="n"/>
      <c r="AH49" s="272" t="n"/>
      <c r="AI49" s="272" t="n"/>
      <c r="AJ49" s="272" t="n"/>
      <c r="AK49" s="272" t="n"/>
      <c r="AL49" s="272" t="n"/>
      <c r="AM49" s="272" t="n"/>
      <c r="AN49" s="272" t="n"/>
      <c r="AO49" s="272" t="n"/>
      <c r="AP49" s="272" t="n"/>
      <c r="AQ49" s="272" t="n"/>
      <c r="AR49" s="273" t="n"/>
    </row>
    <row r="50" ht="15" customHeight="1" s="13">
      <c r="B50" s="155" t="inlineStr">
        <is>
          <t xml:space="preserve">Root causes selected: </t>
        </is>
      </c>
      <c r="M50" s="195" t="inlineStr">
        <is>
          <t>ishikawa</t>
        </is>
      </c>
      <c r="N50" s="272" t="n"/>
      <c r="O50" s="272" t="n"/>
      <c r="P50" s="272" t="n"/>
      <c r="Q50" s="272" t="n"/>
      <c r="R50" s="272" t="n"/>
      <c r="S50" s="272" t="n"/>
      <c r="T50" s="272" t="n"/>
      <c r="U50" s="272" t="n"/>
      <c r="V50" s="272" t="n"/>
      <c r="W50" s="272" t="n"/>
      <c r="X50" s="272" t="n"/>
      <c r="Y50" s="272" t="n"/>
      <c r="Z50" s="272" t="n"/>
      <c r="AA50" s="272" t="n"/>
      <c r="AB50" s="272" t="n"/>
      <c r="AC50" s="272" t="n"/>
      <c r="AD50" s="272" t="n"/>
      <c r="AE50" s="272" t="n"/>
      <c r="AF50" s="272" t="n"/>
      <c r="AG50" s="272" t="n"/>
      <c r="AH50" s="272" t="n"/>
      <c r="AI50" s="272" t="n"/>
      <c r="AJ50" s="272" t="n"/>
      <c r="AK50" s="272" t="n"/>
      <c r="AL50" s="272" t="n"/>
      <c r="AM50" s="272" t="n"/>
      <c r="AN50" s="272" t="n"/>
      <c r="AO50" s="272" t="n"/>
      <c r="AP50" s="272" t="n"/>
      <c r="AQ50" s="184" t="n"/>
      <c r="AR50" s="270" t="n"/>
    </row>
    <row r="51" ht="15" customHeight="1" s="13" thickBot="1">
      <c r="B51" s="161" t="inlineStr">
        <is>
          <t>Causes racines retenues</t>
        </is>
      </c>
      <c r="M51" s="275" t="n"/>
      <c r="N51" s="275" t="n"/>
      <c r="O51" s="275" t="n"/>
      <c r="P51" s="275" t="n"/>
      <c r="Q51" s="275" t="n"/>
      <c r="R51" s="275" t="n"/>
      <c r="S51" s="275" t="n"/>
      <c r="T51" s="275" t="n"/>
      <c r="U51" s="275" t="n"/>
      <c r="V51" s="275" t="n"/>
      <c r="W51" s="275" t="n"/>
      <c r="X51" s="275" t="n"/>
      <c r="Y51" s="275" t="n"/>
      <c r="Z51" s="275" t="n"/>
      <c r="AA51" s="275" t="n"/>
      <c r="AB51" s="275" t="n"/>
      <c r="AC51" s="275" t="n"/>
      <c r="AD51" s="275" t="n"/>
      <c r="AE51" s="275" t="n"/>
      <c r="AF51" s="275" t="n"/>
      <c r="AG51" s="275" t="n"/>
      <c r="AH51" s="275" t="n"/>
      <c r="AI51" s="275" t="n"/>
      <c r="AJ51" s="275" t="n"/>
      <c r="AK51" s="275" t="n"/>
      <c r="AL51" s="275" t="n"/>
      <c r="AM51" s="275" t="n"/>
      <c r="AN51" s="275" t="n"/>
      <c r="AO51" s="275" t="n"/>
      <c r="AP51" s="275" t="n"/>
      <c r="AR51" s="270" t="n"/>
    </row>
    <row r="52" ht="4.95" customHeight="1" s="13" thickBot="1">
      <c r="B52" s="277" t="n"/>
      <c r="C52" s="231" t="n"/>
      <c r="D52" s="231" t="n"/>
      <c r="E52" s="231" t="n"/>
      <c r="F52" s="231" t="n"/>
      <c r="G52" s="231" t="n"/>
      <c r="H52" s="231" t="n"/>
      <c r="I52" s="231" t="n"/>
      <c r="J52" s="231" t="n"/>
      <c r="K52" s="231" t="n"/>
      <c r="L52" s="231" t="n"/>
      <c r="M52" s="231" t="n"/>
      <c r="N52" s="231" t="n"/>
      <c r="O52" s="231" t="n"/>
      <c r="P52" s="231" t="n"/>
      <c r="Q52" s="231" t="n"/>
      <c r="R52" s="231" t="n"/>
      <c r="S52" s="231" t="n"/>
      <c r="T52" s="231" t="n"/>
      <c r="U52" s="231" t="n"/>
      <c r="V52" s="231" t="n"/>
      <c r="W52" s="231" t="n"/>
      <c r="X52" s="231" t="n"/>
      <c r="Y52" s="231" t="n"/>
      <c r="Z52" s="231" t="n"/>
      <c r="AA52" s="231" t="n"/>
      <c r="AB52" s="231" t="n"/>
      <c r="AC52" s="231" t="n"/>
      <c r="AD52" s="231" t="n"/>
      <c r="AE52" s="231" t="n"/>
      <c r="AF52" s="231" t="n"/>
      <c r="AG52" s="231" t="n"/>
      <c r="AH52" s="231" t="n"/>
      <c r="AI52" s="231" t="n"/>
      <c r="AJ52" s="231" t="n"/>
      <c r="AK52" s="231" t="n"/>
      <c r="AL52" s="231" t="n"/>
      <c r="AM52" s="231" t="n"/>
      <c r="AN52" s="231" t="n"/>
      <c r="AO52" s="231" t="n"/>
      <c r="AP52" s="231" t="n"/>
      <c r="AQ52" s="231" t="n"/>
      <c r="AR52" s="265" t="n"/>
    </row>
    <row r="53" ht="15" customHeight="1" s="13" thickBot="1">
      <c r="B53" s="125" t="n"/>
      <c r="C53" s="258" t="n"/>
      <c r="D53" s="258" t="n"/>
      <c r="E53" s="258" t="n"/>
      <c r="F53" s="258" t="n"/>
      <c r="G53" s="258" t="n"/>
      <c r="H53" s="258" t="n"/>
      <c r="I53" s="258" t="n"/>
      <c r="J53" s="258" t="n"/>
      <c r="K53" s="258" t="n"/>
      <c r="L53" s="258" t="n"/>
      <c r="M53" s="258" t="n"/>
      <c r="N53" s="258" t="n"/>
      <c r="O53" s="258" t="n"/>
      <c r="P53" s="258" t="n"/>
      <c r="Q53" s="258" t="n"/>
      <c r="R53" s="258" t="n"/>
      <c r="S53" s="258" t="n"/>
      <c r="T53" s="258" t="n"/>
      <c r="U53" s="258" t="n"/>
      <c r="V53" s="258" t="n"/>
      <c r="W53" s="258" t="n"/>
      <c r="X53" s="258" t="n"/>
      <c r="Y53" s="258" t="n"/>
      <c r="Z53" s="258" t="n"/>
      <c r="AA53" s="258" t="n"/>
      <c r="AB53" s="258" t="n"/>
      <c r="AC53" s="258" t="n"/>
      <c r="AD53" s="258" t="n"/>
      <c r="AE53" s="258" t="n"/>
      <c r="AF53" s="258" t="n"/>
      <c r="AG53" s="258" t="n"/>
      <c r="AH53" s="258" t="n"/>
      <c r="AI53" s="258" t="n"/>
      <c r="AJ53" s="258" t="n"/>
      <c r="AK53" s="258" t="n"/>
      <c r="AL53" s="258" t="n"/>
      <c r="AM53" s="258" t="n"/>
      <c r="AN53" s="258" t="n"/>
      <c r="AO53" s="258" t="n"/>
      <c r="AP53" s="258" t="n"/>
      <c r="AQ53" s="258" t="n"/>
      <c r="AR53" s="258" t="n"/>
    </row>
    <row r="54" ht="30" customHeight="1" s="13">
      <c r="B54" s="278" t="inlineStr">
        <is>
          <t>SECTION 5: NC ATTRIBUTION – Filled by quality department after consulting teams – A remplir par la qualité après consultation des équipes</t>
        </is>
      </c>
      <c r="C54" s="233" t="n"/>
      <c r="D54" s="233" t="n"/>
      <c r="E54" s="233" t="n"/>
      <c r="F54" s="233" t="n"/>
      <c r="G54" s="233" t="n"/>
      <c r="H54" s="233" t="n"/>
      <c r="I54" s="233" t="n"/>
      <c r="J54" s="233" t="n"/>
      <c r="K54" s="233" t="n"/>
      <c r="L54" s="233" t="n"/>
      <c r="M54" s="233" t="n"/>
      <c r="N54" s="233" t="n"/>
      <c r="O54" s="233" t="n"/>
      <c r="P54" s="233" t="n"/>
      <c r="Q54" s="233" t="n"/>
      <c r="R54" s="233" t="n"/>
      <c r="S54" s="233" t="n"/>
      <c r="T54" s="233" t="n"/>
      <c r="U54" s="233" t="n"/>
      <c r="V54" s="233" t="n"/>
      <c r="W54" s="233" t="n"/>
      <c r="X54" s="233" t="n"/>
      <c r="Y54" s="233" t="n"/>
      <c r="Z54" s="233" t="n"/>
      <c r="AA54" s="233" t="n"/>
      <c r="AB54" s="233" t="n"/>
      <c r="AC54" s="233" t="n"/>
      <c r="AD54" s="233" t="n"/>
      <c r="AE54" s="233" t="n"/>
      <c r="AF54" s="233" t="n"/>
      <c r="AG54" s="233" t="n"/>
      <c r="AH54" s="233" t="n"/>
      <c r="AI54" s="233" t="n"/>
      <c r="AJ54" s="233" t="n"/>
      <c r="AK54" s="233" t="n"/>
      <c r="AL54" s="233" t="n"/>
      <c r="AM54" s="233" t="n"/>
      <c r="AN54" s="233" t="n"/>
      <c r="AO54" s="233" t="n"/>
      <c r="AP54" s="233" t="n"/>
      <c r="AQ54" s="233" t="n"/>
      <c r="AR54" s="261" t="n"/>
    </row>
    <row r="55" ht="15" customHeight="1" s="13">
      <c r="B55" s="204" t="inlineStr">
        <is>
          <t xml:space="preserve">      Customer - Client</t>
        </is>
      </c>
      <c r="P55" s="206" t="inlineStr">
        <is>
          <t xml:space="preserve">      Supplier – Fournisseur</t>
        </is>
      </c>
      <c r="AG55" s="291" t="inlineStr">
        <is>
          <t xml:space="preserve">     Internal - Interne</t>
        </is>
      </c>
      <c r="AR55" s="270" t="n"/>
    </row>
    <row r="56" ht="30" customHeight="1" s="13" thickBot="1">
      <c r="B56" s="10" t="n"/>
      <c r="C56" s="209" t="inlineStr">
        <is>
          <t>Customer name / department</t>
        </is>
      </c>
      <c r="D56" s="275" t="n"/>
      <c r="E56" s="275" t="n"/>
      <c r="F56" s="275" t="n"/>
      <c r="G56" s="275" t="n"/>
      <c r="H56" s="275" t="n"/>
      <c r="I56" s="275" t="n"/>
      <c r="J56" s="275" t="n"/>
      <c r="K56" s="275" t="n"/>
      <c r="L56" s="275" t="n"/>
      <c r="M56" s="275" t="n"/>
      <c r="N56" s="275" t="n"/>
      <c r="O56" s="147" t="n"/>
      <c r="P56" s="147" t="n"/>
      <c r="R56" s="210" t="inlineStr">
        <is>
          <t>Supplier Name / department.</t>
        </is>
      </c>
      <c r="S56" s="275" t="n"/>
      <c r="T56" s="275" t="n"/>
      <c r="U56" s="275" t="n"/>
      <c r="V56" s="275" t="n"/>
      <c r="W56" s="275" t="n"/>
      <c r="X56" s="275" t="n"/>
      <c r="Y56" s="275" t="n"/>
      <c r="Z56" s="275" t="n"/>
      <c r="AA56" s="275" t="n"/>
      <c r="AB56" s="275" t="n"/>
      <c r="AC56" s="275" t="n"/>
      <c r="AD56" s="147" t="n"/>
      <c r="AG56" s="147" t="n"/>
      <c r="AI56" s="181" t="inlineStr">
        <is>
          <t>Choose department.</t>
        </is>
      </c>
      <c r="AJ56" s="275" t="n"/>
      <c r="AK56" s="275" t="n"/>
      <c r="AL56" s="275" t="n"/>
      <c r="AM56" s="275" t="n"/>
      <c r="AN56" s="275" t="n"/>
      <c r="AO56" s="275" t="n"/>
      <c r="AP56" s="275" t="n"/>
      <c r="AQ56" s="148" t="n"/>
      <c r="AR56" s="270" t="n"/>
    </row>
    <row r="57" ht="4.95" customHeight="1" s="13" thickBot="1">
      <c r="B57" s="277" t="n"/>
      <c r="C57" s="231" t="n"/>
      <c r="D57" s="231" t="n"/>
      <c r="E57" s="231" t="n"/>
      <c r="F57" s="231" t="n"/>
      <c r="G57" s="231" t="n"/>
      <c r="H57" s="231" t="n"/>
      <c r="I57" s="231" t="n"/>
      <c r="J57" s="231" t="n"/>
      <c r="K57" s="231" t="n"/>
      <c r="L57" s="231" t="n"/>
      <c r="M57" s="231" t="n"/>
      <c r="N57" s="231" t="n"/>
      <c r="O57" s="231" t="n"/>
      <c r="P57" s="231" t="n"/>
      <c r="Q57" s="231" t="n"/>
      <c r="R57" s="231" t="n"/>
      <c r="S57" s="231" t="n"/>
      <c r="T57" s="231" t="n"/>
      <c r="U57" s="231" t="n"/>
      <c r="V57" s="231" t="n"/>
      <c r="W57" s="231" t="n"/>
      <c r="X57" s="231" t="n"/>
      <c r="Y57" s="231" t="n"/>
      <c r="Z57" s="231" t="n"/>
      <c r="AA57" s="231" t="n"/>
      <c r="AB57" s="231" t="n"/>
      <c r="AC57" s="231" t="n"/>
      <c r="AD57" s="231" t="n"/>
      <c r="AE57" s="231" t="n"/>
      <c r="AF57" s="231" t="n"/>
      <c r="AG57" s="231" t="n"/>
      <c r="AH57" s="231" t="n"/>
      <c r="AI57" s="231" t="n"/>
      <c r="AJ57" s="231" t="n"/>
      <c r="AK57" s="231" t="n"/>
      <c r="AL57" s="231" t="n"/>
      <c r="AM57" s="231" t="n"/>
      <c r="AN57" s="231" t="n"/>
      <c r="AO57" s="231" t="n"/>
      <c r="AP57" s="231" t="n"/>
      <c r="AQ57" s="231" t="n"/>
      <c r="AR57" s="265" t="n"/>
    </row>
    <row r="58" ht="15" customHeight="1" s="13" thickBot="1">
      <c r="B58" s="125" t="n"/>
      <c r="C58" s="258" t="n"/>
      <c r="D58" s="258" t="n"/>
      <c r="E58" s="258" t="n"/>
      <c r="F58" s="258" t="n"/>
      <c r="G58" s="258" t="n"/>
      <c r="H58" s="258" t="n"/>
      <c r="I58" s="258" t="n"/>
      <c r="J58" s="258" t="n"/>
      <c r="K58" s="258" t="n"/>
      <c r="L58" s="258" t="n"/>
      <c r="M58" s="258" t="n"/>
      <c r="N58" s="258" t="n"/>
      <c r="O58" s="258" t="n"/>
      <c r="P58" s="258" t="n"/>
      <c r="Q58" s="258" t="n"/>
      <c r="R58" s="258" t="n"/>
      <c r="S58" s="258" t="n"/>
      <c r="T58" s="258" t="n"/>
      <c r="U58" s="258" t="n"/>
      <c r="V58" s="258" t="n"/>
      <c r="W58" s="258" t="n"/>
      <c r="X58" s="258" t="n"/>
      <c r="Y58" s="258" t="n"/>
      <c r="Z58" s="258" t="n"/>
      <c r="AA58" s="258" t="n"/>
      <c r="AB58" s="258" t="n"/>
      <c r="AC58" s="258" t="n"/>
      <c r="AD58" s="258" t="n"/>
      <c r="AE58" s="258" t="n"/>
      <c r="AF58" s="258" t="n"/>
      <c r="AG58" s="258" t="n"/>
      <c r="AH58" s="258" t="n"/>
      <c r="AI58" s="258" t="n"/>
      <c r="AJ58" s="258" t="n"/>
      <c r="AK58" s="258" t="n"/>
      <c r="AL58" s="258" t="n"/>
      <c r="AM58" s="258" t="n"/>
      <c r="AN58" s="258" t="n"/>
      <c r="AO58" s="258" t="n"/>
      <c r="AP58" s="258" t="n"/>
      <c r="AQ58" s="258" t="n"/>
      <c r="AR58" s="258" t="n"/>
    </row>
    <row r="59" ht="15" customHeight="1" s="13">
      <c r="B59" s="292" t="inlineStr">
        <is>
          <t>SECTION 6: ACTION PLAN – Filled by quality department after consulting teams – A remplir par la qualité après consultation des équipes</t>
        </is>
      </c>
      <c r="C59" s="233" t="n"/>
      <c r="D59" s="233" t="n"/>
      <c r="E59" s="233" t="n"/>
      <c r="F59" s="233" t="n"/>
      <c r="G59" s="233" t="n"/>
      <c r="H59" s="233" t="n"/>
      <c r="I59" s="233" t="n"/>
      <c r="J59" s="233" t="n"/>
      <c r="K59" s="233" t="n"/>
      <c r="L59" s="233" t="n"/>
      <c r="M59" s="233" t="n"/>
      <c r="N59" s="233" t="n"/>
      <c r="O59" s="233" t="n"/>
      <c r="P59" s="233" t="n"/>
      <c r="Q59" s="233" t="n"/>
      <c r="R59" s="233" t="n"/>
      <c r="S59" s="233" t="n"/>
      <c r="T59" s="233" t="n"/>
      <c r="U59" s="233" t="n"/>
      <c r="V59" s="233" t="n"/>
      <c r="W59" s="233" t="n"/>
      <c r="X59" s="233" t="n"/>
      <c r="Y59" s="233" t="n"/>
      <c r="Z59" s="233" t="n"/>
      <c r="AA59" s="233" t="n"/>
      <c r="AB59" s="233" t="n"/>
      <c r="AC59" s="233" t="n"/>
      <c r="AD59" s="233" t="n"/>
      <c r="AE59" s="233" t="n"/>
      <c r="AF59" s="233" t="n"/>
      <c r="AG59" s="233" t="n"/>
      <c r="AH59" s="233" t="n"/>
      <c r="AI59" s="233" t="n"/>
      <c r="AJ59" s="233" t="n"/>
      <c r="AK59" s="233" t="n"/>
      <c r="AL59" s="233" t="n"/>
      <c r="AM59" s="233" t="n"/>
      <c r="AN59" s="233" t="n"/>
      <c r="AO59" s="233" t="n"/>
      <c r="AP59" s="233" t="n"/>
      <c r="AQ59" s="233" t="n"/>
      <c r="AR59" s="261" t="n"/>
    </row>
    <row r="60" ht="15" customHeight="1" s="13">
      <c r="B60" s="293" t="inlineStr">
        <is>
          <t>Corrective &amp; Preventive actions</t>
        </is>
      </c>
      <c r="AR60" s="270" t="n"/>
    </row>
    <row r="61" ht="15" customHeight="1" s="13" thickBot="1">
      <c r="B61" s="279" t="inlineStr">
        <is>
          <t>N° Action</t>
        </is>
      </c>
      <c r="C61" s="231" t="n"/>
      <c r="D61" s="231" t="n"/>
      <c r="E61" s="231" t="n"/>
      <c r="F61" s="265" t="n"/>
      <c r="G61" s="279" t="inlineStr">
        <is>
          <t>Action description – Description de l’action</t>
        </is>
      </c>
      <c r="H61" s="231" t="n"/>
      <c r="I61" s="231" t="n"/>
      <c r="J61" s="231" t="n"/>
      <c r="K61" s="231" t="n"/>
      <c r="L61" s="231" t="n"/>
      <c r="M61" s="231" t="n"/>
      <c r="N61" s="231" t="n"/>
      <c r="O61" s="231" t="n"/>
      <c r="P61" s="231" t="n"/>
      <c r="Q61" s="231" t="n"/>
      <c r="R61" s="231" t="n"/>
      <c r="S61" s="231" t="n"/>
      <c r="T61" s="231" t="n"/>
      <c r="U61" s="231" t="n"/>
      <c r="V61" s="231" t="n"/>
      <c r="W61" s="231" t="n"/>
      <c r="X61" s="231" t="n"/>
      <c r="Y61" s="231" t="n"/>
      <c r="Z61" s="231" t="n"/>
      <c r="AA61" s="231" t="n"/>
      <c r="AB61" s="231" t="n"/>
      <c r="AC61" s="231" t="n"/>
      <c r="AD61" s="231" t="n"/>
      <c r="AE61" s="265" t="n"/>
      <c r="AF61" s="279" t="inlineStr">
        <is>
          <t>Responsible - Responsable</t>
        </is>
      </c>
      <c r="AG61" s="231" t="n"/>
      <c r="AH61" s="231" t="n"/>
      <c r="AI61" s="231" t="n"/>
      <c r="AJ61" s="231" t="n"/>
      <c r="AK61" s="231" t="n"/>
      <c r="AL61" s="231" t="n"/>
      <c r="AM61" s="231" t="n"/>
      <c r="AN61" s="231" t="n"/>
      <c r="AO61" s="265" t="n"/>
      <c r="AP61" s="279" t="inlineStr">
        <is>
          <t>Planned Date</t>
        </is>
      </c>
      <c r="AQ61" s="231" t="n"/>
      <c r="AR61" s="265" t="n"/>
    </row>
    <row r="62" ht="27" customHeight="1" s="13" thickBot="1">
      <c r="B62" s="280" t="n"/>
      <c r="C62" s="281" t="n"/>
      <c r="D62" s="281" t="n"/>
      <c r="E62" s="281" t="n"/>
      <c r="F62" s="282" t="n"/>
      <c r="G62" s="280" t="n"/>
      <c r="H62" s="281" t="n"/>
      <c r="I62" s="281" t="n"/>
      <c r="J62" s="281" t="n"/>
      <c r="K62" s="281" t="n"/>
      <c r="L62" s="281" t="n"/>
      <c r="M62" s="281" t="n"/>
      <c r="N62" s="281" t="n"/>
      <c r="O62" s="281" t="n"/>
      <c r="P62" s="281" t="n"/>
      <c r="Q62" s="281" t="n"/>
      <c r="R62" s="281" t="n"/>
      <c r="S62" s="281" t="n"/>
      <c r="T62" s="281" t="n"/>
      <c r="U62" s="281" t="n"/>
      <c r="V62" s="281" t="n"/>
      <c r="W62" s="281" t="n"/>
      <c r="X62" s="281" t="n"/>
      <c r="Y62" s="281" t="n"/>
      <c r="Z62" s="281" t="n"/>
      <c r="AA62" s="281" t="n"/>
      <c r="AB62" s="281" t="n"/>
      <c r="AC62" s="281" t="n"/>
      <c r="AD62" s="281" t="n"/>
      <c r="AE62" s="282" t="n"/>
      <c r="AF62" s="280" t="n"/>
      <c r="AG62" s="281" t="n"/>
      <c r="AH62" s="281" t="n"/>
      <c r="AI62" s="281" t="n"/>
      <c r="AJ62" s="281" t="n"/>
      <c r="AK62" s="281" t="n"/>
      <c r="AL62" s="281" t="n"/>
      <c r="AM62" s="281" t="n"/>
      <c r="AN62" s="281" t="n"/>
      <c r="AO62" s="282" t="n"/>
      <c r="AP62" s="283" t="inlineStr">
        <is>
          <t>Insert date</t>
        </is>
      </c>
      <c r="AQ62" s="281" t="n"/>
      <c r="AR62" s="282" t="n"/>
    </row>
    <row r="63" ht="27" customHeight="1" s="13" thickBot="1">
      <c r="B63" s="280" t="n"/>
      <c r="C63" s="281" t="n"/>
      <c r="D63" s="281" t="n"/>
      <c r="E63" s="281" t="n"/>
      <c r="F63" s="282" t="n"/>
      <c r="G63" s="280" t="n"/>
      <c r="H63" s="281" t="n"/>
      <c r="I63" s="281" t="n"/>
      <c r="J63" s="281" t="n"/>
      <c r="K63" s="281" t="n"/>
      <c r="L63" s="281" t="n"/>
      <c r="M63" s="281" t="n"/>
      <c r="N63" s="281" t="n"/>
      <c r="O63" s="281" t="n"/>
      <c r="P63" s="281" t="n"/>
      <c r="Q63" s="281" t="n"/>
      <c r="R63" s="281" t="n"/>
      <c r="S63" s="281" t="n"/>
      <c r="T63" s="281" t="n"/>
      <c r="U63" s="281" t="n"/>
      <c r="V63" s="281" t="n"/>
      <c r="W63" s="281" t="n"/>
      <c r="X63" s="281" t="n"/>
      <c r="Y63" s="281" t="n"/>
      <c r="Z63" s="281" t="n"/>
      <c r="AA63" s="281" t="n"/>
      <c r="AB63" s="281" t="n"/>
      <c r="AC63" s="281" t="n"/>
      <c r="AD63" s="281" t="n"/>
      <c r="AE63" s="282" t="n"/>
      <c r="AF63" s="280" t="n"/>
      <c r="AG63" s="281" t="n"/>
      <c r="AH63" s="281" t="n"/>
      <c r="AI63" s="281" t="n"/>
      <c r="AJ63" s="281" t="n"/>
      <c r="AK63" s="281" t="n"/>
      <c r="AL63" s="281" t="n"/>
      <c r="AM63" s="281" t="n"/>
      <c r="AN63" s="281" t="n"/>
      <c r="AO63" s="282" t="n"/>
      <c r="AP63" s="283" t="inlineStr">
        <is>
          <t>Insert date</t>
        </is>
      </c>
      <c r="AQ63" s="281" t="n"/>
      <c r="AR63" s="282" t="n"/>
    </row>
    <row r="64" ht="27" customHeight="1" s="13" thickBot="1">
      <c r="B64" s="280" t="n"/>
      <c r="C64" s="281" t="n"/>
      <c r="D64" s="281" t="n"/>
      <c r="E64" s="281" t="n"/>
      <c r="F64" s="282" t="n"/>
      <c r="G64" s="280" t="n"/>
      <c r="H64" s="281" t="n"/>
      <c r="I64" s="281" t="n"/>
      <c r="J64" s="281" t="n"/>
      <c r="K64" s="281" t="n"/>
      <c r="L64" s="281" t="n"/>
      <c r="M64" s="281" t="n"/>
      <c r="N64" s="281" t="n"/>
      <c r="O64" s="281" t="n"/>
      <c r="P64" s="281" t="n"/>
      <c r="Q64" s="281" t="n"/>
      <c r="R64" s="281" t="n"/>
      <c r="S64" s="281" t="n"/>
      <c r="T64" s="281" t="n"/>
      <c r="U64" s="281" t="n"/>
      <c r="V64" s="281" t="n"/>
      <c r="W64" s="281" t="n"/>
      <c r="X64" s="281" t="n"/>
      <c r="Y64" s="281" t="n"/>
      <c r="Z64" s="281" t="n"/>
      <c r="AA64" s="281" t="n"/>
      <c r="AB64" s="281" t="n"/>
      <c r="AC64" s="281" t="n"/>
      <c r="AD64" s="281" t="n"/>
      <c r="AE64" s="282" t="n"/>
      <c r="AF64" s="280" t="n"/>
      <c r="AG64" s="281" t="n"/>
      <c r="AH64" s="281" t="n"/>
      <c r="AI64" s="281" t="n"/>
      <c r="AJ64" s="281" t="n"/>
      <c r="AK64" s="281" t="n"/>
      <c r="AL64" s="281" t="n"/>
      <c r="AM64" s="281" t="n"/>
      <c r="AN64" s="281" t="n"/>
      <c r="AO64" s="282" t="n"/>
      <c r="AP64" s="283" t="inlineStr">
        <is>
          <t>Insert date</t>
        </is>
      </c>
      <c r="AQ64" s="281" t="n"/>
      <c r="AR64" s="282" t="n"/>
    </row>
    <row r="65" ht="27" customHeight="1" s="13" thickBot="1">
      <c r="B65" s="280" t="n"/>
      <c r="C65" s="281" t="n"/>
      <c r="D65" s="281" t="n"/>
      <c r="E65" s="281" t="n"/>
      <c r="F65" s="282" t="n"/>
      <c r="G65" s="280" t="n"/>
      <c r="H65" s="281" t="n"/>
      <c r="I65" s="281" t="n"/>
      <c r="J65" s="281" t="n"/>
      <c r="K65" s="281" t="n"/>
      <c r="L65" s="281" t="n"/>
      <c r="M65" s="281" t="n"/>
      <c r="N65" s="281" t="n"/>
      <c r="O65" s="281" t="n"/>
      <c r="P65" s="281" t="n"/>
      <c r="Q65" s="281" t="n"/>
      <c r="R65" s="281" t="n"/>
      <c r="S65" s="281" t="n"/>
      <c r="T65" s="281" t="n"/>
      <c r="U65" s="281" t="n"/>
      <c r="V65" s="281" t="n"/>
      <c r="W65" s="281" t="n"/>
      <c r="X65" s="281" t="n"/>
      <c r="Y65" s="281" t="n"/>
      <c r="Z65" s="281" t="n"/>
      <c r="AA65" s="281" t="n"/>
      <c r="AB65" s="281" t="n"/>
      <c r="AC65" s="281" t="n"/>
      <c r="AD65" s="281" t="n"/>
      <c r="AE65" s="282" t="n"/>
      <c r="AF65" s="280" t="n"/>
      <c r="AG65" s="281" t="n"/>
      <c r="AH65" s="281" t="n"/>
      <c r="AI65" s="281" t="n"/>
      <c r="AJ65" s="281" t="n"/>
      <c r="AK65" s="281" t="n"/>
      <c r="AL65" s="281" t="n"/>
      <c r="AM65" s="281" t="n"/>
      <c r="AN65" s="281" t="n"/>
      <c r="AO65" s="282" t="n"/>
      <c r="AP65" s="283" t="inlineStr">
        <is>
          <t>Insert date</t>
        </is>
      </c>
      <c r="AQ65" s="281" t="n"/>
      <c r="AR65" s="282" t="n"/>
    </row>
    <row r="66" ht="27" customHeight="1" s="13" thickBot="1">
      <c r="B66" s="280" t="n"/>
      <c r="C66" s="281" t="n"/>
      <c r="D66" s="281" t="n"/>
      <c r="E66" s="281" t="n"/>
      <c r="F66" s="282" t="n"/>
      <c r="G66" s="280" t="n"/>
      <c r="H66" s="281" t="n"/>
      <c r="I66" s="281" t="n"/>
      <c r="J66" s="281" t="n"/>
      <c r="K66" s="281" t="n"/>
      <c r="L66" s="281" t="n"/>
      <c r="M66" s="281" t="n"/>
      <c r="N66" s="281" t="n"/>
      <c r="O66" s="281" t="n"/>
      <c r="P66" s="281" t="n"/>
      <c r="Q66" s="281" t="n"/>
      <c r="R66" s="281" t="n"/>
      <c r="S66" s="281" t="n"/>
      <c r="T66" s="281" t="n"/>
      <c r="U66" s="281" t="n"/>
      <c r="V66" s="281" t="n"/>
      <c r="W66" s="281" t="n"/>
      <c r="X66" s="281" t="n"/>
      <c r="Y66" s="281" t="n"/>
      <c r="Z66" s="281" t="n"/>
      <c r="AA66" s="281" t="n"/>
      <c r="AB66" s="281" t="n"/>
      <c r="AC66" s="281" t="n"/>
      <c r="AD66" s="281" t="n"/>
      <c r="AE66" s="282" t="n"/>
      <c r="AF66" s="280" t="n"/>
      <c r="AG66" s="281" t="n"/>
      <c r="AH66" s="281" t="n"/>
      <c r="AI66" s="281" t="n"/>
      <c r="AJ66" s="281" t="n"/>
      <c r="AK66" s="281" t="n"/>
      <c r="AL66" s="281" t="n"/>
      <c r="AM66" s="281" t="n"/>
      <c r="AN66" s="281" t="n"/>
      <c r="AO66" s="282" t="n"/>
      <c r="AP66" s="283" t="inlineStr">
        <is>
          <t>Insert date</t>
        </is>
      </c>
      <c r="AQ66" s="281" t="n"/>
      <c r="AR66" s="282" t="n"/>
    </row>
    <row r="67" ht="15" customHeight="1" s="13">
      <c r="B67" s="117" t="inlineStr">
        <is>
          <t>The problem was finally eliminated. The NC is closed :</t>
        </is>
      </c>
      <c r="C67" s="233" t="n"/>
      <c r="D67" s="233" t="n"/>
      <c r="E67" s="233" t="n"/>
      <c r="F67" s="233" t="n"/>
      <c r="G67" s="233" t="n"/>
      <c r="H67" s="233" t="n"/>
      <c r="I67" s="233" t="n"/>
      <c r="J67" s="233" t="n"/>
      <c r="K67" s="233" t="n"/>
      <c r="L67" s="233" t="n"/>
      <c r="M67" s="233" t="n"/>
      <c r="N67" s="233" t="n"/>
      <c r="O67" s="233" t="n"/>
      <c r="P67" s="233" t="n"/>
      <c r="Q67" s="233" t="n"/>
      <c r="R67" s="233" t="n"/>
      <c r="S67" s="233" t="n"/>
      <c r="T67" s="233" t="n"/>
      <c r="U67" s="233" t="n"/>
      <c r="V67" s="233" t="n"/>
      <c r="W67" s="233" t="n"/>
      <c r="X67" s="233" t="n"/>
      <c r="Y67" s="169" t="inlineStr">
        <is>
          <t xml:space="preserve">   Yes - Oui</t>
        </is>
      </c>
      <c r="Z67" s="233" t="n"/>
      <c r="AA67" s="233" t="n"/>
      <c r="AB67" s="233" t="n"/>
      <c r="AC67" s="233" t="n"/>
      <c r="AD67" s="233" t="n"/>
      <c r="AE67" s="233" t="n"/>
      <c r="AF67" s="233" t="n"/>
      <c r="AG67" s="233" t="n"/>
      <c r="AH67" s="233" t="n"/>
      <c r="AI67" s="233" t="n"/>
      <c r="AJ67" s="233" t="n"/>
      <c r="AK67" s="233" t="n"/>
      <c r="AL67" s="171" t="inlineStr">
        <is>
          <t xml:space="preserve">   No - Non</t>
        </is>
      </c>
      <c r="AM67" s="233" t="n"/>
      <c r="AN67" s="233" t="n"/>
      <c r="AO67" s="233" t="n"/>
      <c r="AP67" s="233" t="n"/>
      <c r="AQ67" s="233" t="n"/>
      <c r="AR67" s="261" t="n"/>
    </row>
    <row r="68" ht="15" customHeight="1" s="13">
      <c r="B68" s="161" t="inlineStr">
        <is>
          <t>Le problème a été finalement éliminé. La NC est clôturée</t>
        </is>
      </c>
      <c r="AR68" s="270" t="n"/>
    </row>
    <row r="69" ht="15" customHeight="1" s="13">
      <c r="B69" s="155" t="inlineStr">
        <is>
          <t>If Yes :
Si oui</t>
        </is>
      </c>
      <c r="E69" s="147" t="inlineStr">
        <is>
          <t>Date of assessment :</t>
        </is>
      </c>
      <c r="S69" s="147" t="inlineStr">
        <is>
          <t>Name of the assessor :</t>
        </is>
      </c>
      <c r="AC69" s="148" t="inlineStr">
        <is>
          <t>Position of the assessor :</t>
        </is>
      </c>
      <c r="AR69" s="270" t="n"/>
    </row>
    <row r="70" ht="21" customHeight="1" s="13">
      <c r="B70" s="274" t="n"/>
      <c r="E70" s="139" t="n"/>
      <c r="H70" s="220" t="inlineStr">
        <is>
          <t>Assessment date</t>
        </is>
      </c>
      <c r="I70" s="272" t="n"/>
      <c r="J70" s="272" t="n"/>
      <c r="K70" s="272" t="n"/>
      <c r="L70" s="272" t="n"/>
      <c r="M70" s="272" t="n"/>
      <c r="N70" s="272" t="n"/>
      <c r="O70" s="272" t="n"/>
      <c r="P70" s="272" t="n"/>
      <c r="Q70" s="180" t="n"/>
      <c r="S70" s="139" t="n"/>
      <c r="T70" s="216" t="inlineStr">
        <is>
          <t>Assessor Name.</t>
        </is>
      </c>
      <c r="U70" s="272" t="n"/>
      <c r="V70" s="272" t="n"/>
      <c r="W70" s="272" t="n"/>
      <c r="X70" s="272" t="n"/>
      <c r="Y70" s="272" t="n"/>
      <c r="Z70" s="272" t="n"/>
      <c r="AA70" s="272" t="n"/>
      <c r="AB70" s="139" t="n"/>
      <c r="AC70" s="139" t="n"/>
      <c r="AE70" s="216" t="inlineStr">
        <is>
          <t>Assessor Position</t>
        </is>
      </c>
      <c r="AF70" s="272" t="n"/>
      <c r="AG70" s="272" t="n"/>
      <c r="AH70" s="272" t="n"/>
      <c r="AI70" s="272" t="n"/>
      <c r="AJ70" s="272" t="n"/>
      <c r="AK70" s="272" t="n"/>
      <c r="AL70" s="272" t="n"/>
      <c r="AM70" s="272" t="n"/>
      <c r="AN70" s="272" t="n"/>
      <c r="AO70" s="272" t="n"/>
      <c r="AP70" s="272" t="n"/>
      <c r="AQ70" s="272" t="n"/>
      <c r="AR70" s="112" t="n"/>
    </row>
    <row r="71" ht="4.95" customHeight="1" s="13" thickBot="1">
      <c r="B71" s="277" t="n"/>
      <c r="C71" s="231" t="n"/>
      <c r="D71" s="231" t="n"/>
      <c r="E71" s="231" t="n"/>
      <c r="F71" s="231" t="n"/>
      <c r="G71" s="231" t="n"/>
      <c r="H71" s="231" t="n"/>
      <c r="I71" s="231" t="n"/>
      <c r="J71" s="231" t="n"/>
      <c r="K71" s="231" t="n"/>
      <c r="L71" s="231" t="n"/>
      <c r="M71" s="231" t="n"/>
      <c r="N71" s="231" t="n"/>
      <c r="O71" s="231" t="n"/>
      <c r="P71" s="231" t="n"/>
      <c r="Q71" s="231" t="n"/>
      <c r="R71" s="231" t="n"/>
      <c r="S71" s="231" t="n"/>
      <c r="T71" s="231" t="n"/>
      <c r="U71" s="231" t="n"/>
      <c r="V71" s="231" t="n"/>
      <c r="W71" s="231" t="n"/>
      <c r="X71" s="231" t="n"/>
      <c r="Y71" s="231" t="n"/>
      <c r="Z71" s="231" t="n"/>
      <c r="AA71" s="231" t="n"/>
      <c r="AB71" s="231" t="n"/>
      <c r="AC71" s="231" t="n"/>
      <c r="AD71" s="231" t="n"/>
      <c r="AE71" s="231" t="n"/>
      <c r="AF71" s="231" t="n"/>
      <c r="AG71" s="231" t="n"/>
      <c r="AH71" s="231" t="n"/>
      <c r="AI71" s="231" t="n"/>
      <c r="AJ71" s="231" t="n"/>
      <c r="AK71" s="231" t="n"/>
      <c r="AL71" s="231" t="n"/>
      <c r="AM71" s="231" t="n"/>
      <c r="AN71" s="231" t="n"/>
      <c r="AO71" s="231" t="n"/>
      <c r="AP71" s="231" t="n"/>
      <c r="AQ71" s="231" t="n"/>
      <c r="AR71" s="265" t="n"/>
    </row>
  </sheetData>
  <mergeCells count="183">
    <mergeCell ref="K2:AM3"/>
    <mergeCell ref="K4:AM5"/>
    <mergeCell ref="A6:AR6"/>
    <mergeCell ref="AN2:AO2"/>
    <mergeCell ref="AN3:AO3"/>
    <mergeCell ref="AN4:AO4"/>
    <mergeCell ref="AN5:AO5"/>
    <mergeCell ref="AP5:AS5"/>
    <mergeCell ref="AP2:AS2"/>
    <mergeCell ref="AP3:AS3"/>
    <mergeCell ref="AP4:AS4"/>
    <mergeCell ref="A2:J5"/>
    <mergeCell ref="AE70:AQ70"/>
    <mergeCell ref="B71:AR71"/>
    <mergeCell ref="B26:D27"/>
    <mergeCell ref="B31:I32"/>
    <mergeCell ref="S39:Y39"/>
    <mergeCell ref="K39:R39"/>
    <mergeCell ref="Z39:AM39"/>
    <mergeCell ref="AN39:AR39"/>
    <mergeCell ref="B69:D70"/>
    <mergeCell ref="E69:R69"/>
    <mergeCell ref="S69:AB69"/>
    <mergeCell ref="AC69:AR69"/>
    <mergeCell ref="E70:G70"/>
    <mergeCell ref="H70:P70"/>
    <mergeCell ref="Q70:R70"/>
    <mergeCell ref="T70:AA70"/>
    <mergeCell ref="AC70:AD70"/>
    <mergeCell ref="B66:F66"/>
    <mergeCell ref="G66:AE66"/>
    <mergeCell ref="AF66:AO66"/>
    <mergeCell ref="AP66:AR66"/>
    <mergeCell ref="B67:X67"/>
    <mergeCell ref="B68:X68"/>
    <mergeCell ref="Y67:AK68"/>
    <mergeCell ref="AL67:AR68"/>
    <mergeCell ref="B64:F64"/>
    <mergeCell ref="G64:AE64"/>
    <mergeCell ref="AF64:AO64"/>
    <mergeCell ref="AP64:AR64"/>
    <mergeCell ref="B65:F65"/>
    <mergeCell ref="G65:AE65"/>
    <mergeCell ref="AF65:AO65"/>
    <mergeCell ref="AP65:AR65"/>
    <mergeCell ref="B62:F62"/>
    <mergeCell ref="G62:AE62"/>
    <mergeCell ref="AF62:AO62"/>
    <mergeCell ref="AP62:AR62"/>
    <mergeCell ref="B63:F63"/>
    <mergeCell ref="G63:AE63"/>
    <mergeCell ref="AF63:AO63"/>
    <mergeCell ref="AP63:AR63"/>
    <mergeCell ref="AQ56:AR56"/>
    <mergeCell ref="B57:AR57"/>
    <mergeCell ref="B58:AR58"/>
    <mergeCell ref="B59:AR59"/>
    <mergeCell ref="B60:AR60"/>
    <mergeCell ref="B61:F61"/>
    <mergeCell ref="G61:AE61"/>
    <mergeCell ref="AF61:AO61"/>
    <mergeCell ref="AP61:AR61"/>
    <mergeCell ref="B54:AR54"/>
    <mergeCell ref="B55:O55"/>
    <mergeCell ref="P55:AF55"/>
    <mergeCell ref="AG55:AR55"/>
    <mergeCell ref="C56:N56"/>
    <mergeCell ref="P56:Q56"/>
    <mergeCell ref="R56:AC56"/>
    <mergeCell ref="AD56:AF56"/>
    <mergeCell ref="AG56:AH56"/>
    <mergeCell ref="AI56:AP56"/>
    <mergeCell ref="B50:L50"/>
    <mergeCell ref="B51:L51"/>
    <mergeCell ref="M50:AP51"/>
    <mergeCell ref="AQ50:AR51"/>
    <mergeCell ref="B52:AR52"/>
    <mergeCell ref="B53:AR53"/>
    <mergeCell ref="B47:AN47"/>
    <mergeCell ref="AO47:AR47"/>
    <mergeCell ref="B48:O48"/>
    <mergeCell ref="P48:AF48"/>
    <mergeCell ref="AG48:AR48"/>
    <mergeCell ref="B49:O49"/>
    <mergeCell ref="P49:AF49"/>
    <mergeCell ref="AG49:AR49"/>
    <mergeCell ref="B45:O45"/>
    <mergeCell ref="P45:AF45"/>
    <mergeCell ref="AG45:AR45"/>
    <mergeCell ref="B46:O46"/>
    <mergeCell ref="P46:AF46"/>
    <mergeCell ref="AG46:AR46"/>
    <mergeCell ref="B40:B41"/>
    <mergeCell ref="C40:J40"/>
    <mergeCell ref="C41:J41"/>
    <mergeCell ref="K40:AP41"/>
    <mergeCell ref="AQ40:AR41"/>
    <mergeCell ref="B44:AR44"/>
    <mergeCell ref="B42:AR42"/>
    <mergeCell ref="B43:AR43"/>
    <mergeCell ref="B36:AR36"/>
    <mergeCell ref="C37:AR37"/>
    <mergeCell ref="D38:AP38"/>
    <mergeCell ref="AQ38:AR38"/>
    <mergeCell ref="B39:J39"/>
    <mergeCell ref="AH32:AJ32"/>
    <mergeCell ref="AK32:AP32"/>
    <mergeCell ref="AQ32:AR32"/>
    <mergeCell ref="B33:AR33"/>
    <mergeCell ref="B34:AR34"/>
    <mergeCell ref="B35:AR35"/>
    <mergeCell ref="B30:AR30"/>
    <mergeCell ref="J31:O31"/>
    <mergeCell ref="P31:U31"/>
    <mergeCell ref="V31:AG31"/>
    <mergeCell ref="AH31:AR31"/>
    <mergeCell ref="J32:O32"/>
    <mergeCell ref="P32:U32"/>
    <mergeCell ref="V32:AG32"/>
    <mergeCell ref="Q27:R27"/>
    <mergeCell ref="T27:AA27"/>
    <mergeCell ref="AC27:AD27"/>
    <mergeCell ref="AE27:AQ27"/>
    <mergeCell ref="B28:AR28"/>
    <mergeCell ref="B29:AR29"/>
    <mergeCell ref="AQ16:AR16"/>
    <mergeCell ref="B25:X25"/>
    <mergeCell ref="Y24:AK25"/>
    <mergeCell ref="AL24:AR25"/>
    <mergeCell ref="E26:R26"/>
    <mergeCell ref="S26:AB26"/>
    <mergeCell ref="AC26:AR26"/>
    <mergeCell ref="E27:G27"/>
    <mergeCell ref="H27:P27"/>
    <mergeCell ref="G22:AE22"/>
    <mergeCell ref="AF22:AO22"/>
    <mergeCell ref="AP22:AR22"/>
    <mergeCell ref="B23:F23"/>
    <mergeCell ref="G23:AE23"/>
    <mergeCell ref="AF23:AO23"/>
    <mergeCell ref="AP23:AR23"/>
    <mergeCell ref="AH11:AR11"/>
    <mergeCell ref="AH12:AR12"/>
    <mergeCell ref="C13:AC13"/>
    <mergeCell ref="AD13:AG13"/>
    <mergeCell ref="AH13:AP13"/>
    <mergeCell ref="AQ13:AR13"/>
    <mergeCell ref="AA7:AI8"/>
    <mergeCell ref="AJ7:AR8"/>
    <mergeCell ref="B9:AR9"/>
    <mergeCell ref="B10:E10"/>
    <mergeCell ref="F10:R10"/>
    <mergeCell ref="S10:Z10"/>
    <mergeCell ref="AA10:AR10"/>
    <mergeCell ref="B7:K7"/>
    <mergeCell ref="B8:K8"/>
    <mergeCell ref="L7:V8"/>
    <mergeCell ref="W7:Z8"/>
    <mergeCell ref="B11:AG12"/>
    <mergeCell ref="B14:AR14"/>
    <mergeCell ref="B15:H16"/>
    <mergeCell ref="I15:M15"/>
    <mergeCell ref="B24:X24"/>
    <mergeCell ref="B20:F20"/>
    <mergeCell ref="G20:AE20"/>
    <mergeCell ref="B22:F22"/>
    <mergeCell ref="B18:AR18"/>
    <mergeCell ref="B19:AR19"/>
    <mergeCell ref="N15:W15"/>
    <mergeCell ref="B17:AR17"/>
    <mergeCell ref="AF20:AO20"/>
    <mergeCell ref="AP20:AR20"/>
    <mergeCell ref="B21:F21"/>
    <mergeCell ref="G21:AE21"/>
    <mergeCell ref="AF21:AO21"/>
    <mergeCell ref="AP21:AR21"/>
    <mergeCell ref="X15:AK15"/>
    <mergeCell ref="AL15:AR15"/>
    <mergeCell ref="I16:M16"/>
    <mergeCell ref="N16:W16"/>
    <mergeCell ref="X16:AK16"/>
    <mergeCell ref="AL16:AM16"/>
    <mergeCell ref="AN16:AP16"/>
  </mergeCells>
  <dataValidations count="7">
    <dataValidation sqref="AH13:AP13" showErrorMessage="1" showInputMessage="1" allowBlank="1" type="list">
      <formula1>Business_Class</formula1>
    </dataValidation>
    <dataValidation sqref="J32:O32" showErrorMessage="1" showInputMessage="1" allowBlank="1" type="list">
      <formula1>Gravité</formula1>
    </dataValidation>
    <dataValidation sqref="P32:U32" showErrorMessage="1" showInputMessage="1" allowBlank="1" type="list">
      <formula1>Occurrence</formula1>
    </dataValidation>
    <dataValidation sqref="V32:AG32" showErrorMessage="1" showInputMessage="1" allowBlank="1" type="list">
      <formula1>Detectabilité</formula1>
    </dataValidation>
    <dataValidation sqref="B62:F66" showErrorMessage="1" showInputMessage="1" allowBlank="1" type="list">
      <formula1>Action_NCP</formula1>
    </dataValidation>
    <dataValidation sqref="AI56:AP56" showErrorMessage="1" showInputMessage="1" allowBlank="1" type="list">
      <formula1>DPTMT</formula1>
    </dataValidation>
    <dataValidation sqref="B21:F23" showErrorMessage="1" showInputMessage="1" allowBlank="1" type="list">
      <formula1>Action_NI</formula1>
    </dataValidation>
  </dataValidations>
  <printOptions horizontalCentered="1"/>
  <pageMargins left="0.5118110236220472" right="0.3149606299212598" top="0.5511811023622047" bottom="0.7480314960629921" header="0.3149606299212598" footer="0.3149606299212598"/>
  <pageSetup orientation="portrait" paperSize="9" scale="82" fitToHeight="2"/>
  <headerFooter>
    <oddHeader/>
    <oddFooter>&amp;C  &amp;RValitidy: Shared Services   I    Responsible: Clesi, Joffrey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Feuil8">
    <outlinePr summaryBelow="1" summaryRight="1"/>
    <pageSetUpPr/>
  </sheetPr>
  <dimension ref="A1:M100"/>
  <sheetViews>
    <sheetView workbookViewId="0">
      <selection activeCell="C29" sqref="C29"/>
    </sheetView>
  </sheetViews>
  <sheetFormatPr baseColWidth="10" defaultRowHeight="14.4"/>
  <cols>
    <col width="22" customWidth="1" style="13" min="3" max="3"/>
    <col width="11.6640625" customWidth="1" style="13" min="10" max="10"/>
  </cols>
  <sheetData>
    <row r="1">
      <c r="A1" t="inlineStr">
        <is>
          <t>Business_Class</t>
        </is>
      </c>
      <c r="B1" t="inlineStr">
        <is>
          <t>N° FNC</t>
        </is>
      </c>
      <c r="C1" t="inlineStr">
        <is>
          <t>count-fnc</t>
        </is>
      </c>
      <c r="D1" t="inlineStr">
        <is>
          <t>Gravité</t>
        </is>
      </c>
      <c r="E1" t="inlineStr">
        <is>
          <t>Occurrence</t>
        </is>
      </c>
      <c r="F1" t="inlineStr">
        <is>
          <t>Detectabilité</t>
        </is>
      </c>
      <c r="J1" t="inlineStr">
        <is>
          <t>Action_NI</t>
        </is>
      </c>
      <c r="K1" t="inlineStr">
        <is>
          <t>Action_NCP</t>
        </is>
      </c>
      <c r="M1" t="inlineStr">
        <is>
          <t>DPTMT</t>
        </is>
      </c>
    </row>
    <row r="2">
      <c r="A2" t="inlineStr">
        <is>
          <t>01-GSE</t>
        </is>
      </c>
      <c r="B2" t="inlineStr">
        <is>
          <t>FNC-22-03-01</t>
        </is>
      </c>
      <c r="C2">
        <f>MID(B2,8,2)</f>
        <v/>
      </c>
      <c r="D2" t="inlineStr">
        <is>
          <t>1 - Insignifiant</t>
        </is>
      </c>
      <c r="E2" t="inlineStr">
        <is>
          <t>1-Invraisemblable</t>
        </is>
      </c>
      <c r="F2" t="inlineStr">
        <is>
          <t>1-Permanante</t>
        </is>
      </c>
      <c r="J2" t="inlineStr">
        <is>
          <t>I1</t>
        </is>
      </c>
      <c r="K2" t="inlineStr">
        <is>
          <t>C1</t>
        </is>
      </c>
      <c r="M2" t="inlineStr">
        <is>
          <t>General Management</t>
        </is>
      </c>
    </row>
    <row r="3">
      <c r="A3" t="inlineStr">
        <is>
          <t>02-Tooling</t>
        </is>
      </c>
      <c r="B3" t="inlineStr">
        <is>
          <t>FNC-22-02-01</t>
        </is>
      </c>
      <c r="C3">
        <f>MID(B3,8,2)</f>
        <v/>
      </c>
      <c r="D3" t="inlineStr">
        <is>
          <t>2 - Très anodin</t>
        </is>
      </c>
      <c r="E3" t="inlineStr">
        <is>
          <t>2-Improbable</t>
        </is>
      </c>
      <c r="F3" t="inlineStr">
        <is>
          <t>2-Quasi-permanante</t>
        </is>
      </c>
      <c r="J3" t="inlineStr">
        <is>
          <t>I2</t>
        </is>
      </c>
      <c r="K3" t="inlineStr">
        <is>
          <t>C2</t>
        </is>
      </c>
      <c r="M3" t="inlineStr">
        <is>
          <t>Sales</t>
        </is>
      </c>
    </row>
    <row r="4">
      <c r="A4" t="inlineStr">
        <is>
          <t>03-Services</t>
        </is>
      </c>
      <c r="B4" t="inlineStr">
        <is>
          <t>FNC-22-02-02</t>
        </is>
      </c>
      <c r="C4">
        <f>MID(B4,8,2)</f>
        <v/>
      </c>
      <c r="D4" t="inlineStr">
        <is>
          <t>3 - Anodin</t>
        </is>
      </c>
      <c r="E4" t="inlineStr">
        <is>
          <t>3-Rare</t>
        </is>
      </c>
      <c r="F4" t="inlineStr">
        <is>
          <t>3-Récurrente</t>
        </is>
      </c>
      <c r="J4" t="inlineStr">
        <is>
          <t>I3</t>
        </is>
      </c>
      <c r="K4" t="inlineStr">
        <is>
          <t>C3</t>
        </is>
      </c>
      <c r="M4" t="inlineStr">
        <is>
          <t>Support department</t>
        </is>
      </c>
    </row>
    <row r="5">
      <c r="A5" t="inlineStr">
        <is>
          <t>04-Services Supports</t>
        </is>
      </c>
      <c r="B5" t="inlineStr">
        <is>
          <t>FNC-22-02-03</t>
        </is>
      </c>
      <c r="C5">
        <f>MID(B5,8,2)</f>
        <v/>
      </c>
      <c r="D5" t="inlineStr">
        <is>
          <t>4-Marginale</t>
        </is>
      </c>
      <c r="E5" t="inlineStr">
        <is>
          <t>4-Occasionnel</t>
        </is>
      </c>
      <c r="F5" t="inlineStr">
        <is>
          <t>4-Fréquente</t>
        </is>
      </c>
      <c r="J5" t="inlineStr">
        <is>
          <t>I4</t>
        </is>
      </c>
      <c r="K5" t="inlineStr">
        <is>
          <t>C4</t>
        </is>
      </c>
      <c r="M5" t="inlineStr">
        <is>
          <t>Services</t>
        </is>
      </c>
    </row>
    <row r="6">
      <c r="A6" t="inlineStr">
        <is>
          <t>05-Achats Non-Productifs</t>
        </is>
      </c>
      <c r="B6" t="inlineStr">
        <is>
          <t>FNC-22-02-04</t>
        </is>
      </c>
      <c r="C6">
        <f>MID(B6,8,2)</f>
        <v/>
      </c>
      <c r="D6" t="inlineStr">
        <is>
          <t>5-Modéré</t>
        </is>
      </c>
      <c r="E6" t="inlineStr">
        <is>
          <t>5-Probable</t>
        </is>
      </c>
      <c r="F6" t="inlineStr">
        <is>
          <t>5-Probable</t>
        </is>
      </c>
      <c r="J6" t="inlineStr">
        <is>
          <t>I5</t>
        </is>
      </c>
      <c r="K6" t="inlineStr">
        <is>
          <t>C5</t>
        </is>
      </c>
      <c r="M6" t="inlineStr">
        <is>
          <t>Purchasing</t>
        </is>
      </c>
    </row>
    <row r="7">
      <c r="A7" t="inlineStr">
        <is>
          <t>06-Management</t>
        </is>
      </c>
      <c r="B7" t="inlineStr">
        <is>
          <t>FNC-22-02-05</t>
        </is>
      </c>
      <c r="C7">
        <f>MID(B7,8,2)</f>
        <v/>
      </c>
      <c r="D7" t="inlineStr">
        <is>
          <t>6-Sévère</t>
        </is>
      </c>
      <c r="E7" t="inlineStr">
        <is>
          <t>6-Fréquent</t>
        </is>
      </c>
      <c r="F7" t="inlineStr">
        <is>
          <t>6-Occasionelle</t>
        </is>
      </c>
      <c r="J7" t="inlineStr">
        <is>
          <t>I6</t>
        </is>
      </c>
      <c r="K7" t="inlineStr">
        <is>
          <t>C6</t>
        </is>
      </c>
    </row>
    <row r="8">
      <c r="B8" t="inlineStr">
        <is>
          <t>FNC-22-02-06</t>
        </is>
      </c>
      <c r="C8">
        <f>MID(B8,8,2)</f>
        <v/>
      </c>
      <c r="D8" t="inlineStr">
        <is>
          <t>7-Importante</t>
        </is>
      </c>
      <c r="E8" t="inlineStr">
        <is>
          <t>7-Très fréquent</t>
        </is>
      </c>
      <c r="F8" t="inlineStr">
        <is>
          <t>7-Complexe</t>
        </is>
      </c>
      <c r="J8" t="inlineStr">
        <is>
          <t>I7</t>
        </is>
      </c>
      <c r="K8" t="inlineStr">
        <is>
          <t>P1</t>
        </is>
      </c>
    </row>
    <row r="9">
      <c r="B9" t="inlineStr">
        <is>
          <t>FNC-22-02-07</t>
        </is>
      </c>
      <c r="C9">
        <f>MID(B9,8,2)</f>
        <v/>
      </c>
      <c r="D9" t="inlineStr">
        <is>
          <t>8-Très Importante</t>
        </is>
      </c>
      <c r="E9" t="inlineStr">
        <is>
          <t>8-Récurrent</t>
        </is>
      </c>
      <c r="F9" t="inlineStr">
        <is>
          <t>8-Rare</t>
        </is>
      </c>
      <c r="J9" t="inlineStr">
        <is>
          <t>I8</t>
        </is>
      </c>
      <c r="K9" t="inlineStr">
        <is>
          <t>P2</t>
        </is>
      </c>
    </row>
    <row r="10">
      <c r="C10">
        <f>MID(B10,8,2)</f>
        <v/>
      </c>
      <c r="D10" t="inlineStr">
        <is>
          <t>9-Majeur</t>
        </is>
      </c>
      <c r="E10" t="inlineStr">
        <is>
          <t>9-Quasi-permanent</t>
        </is>
      </c>
      <c r="F10" t="inlineStr">
        <is>
          <t>9-Improbable</t>
        </is>
      </c>
      <c r="K10" t="inlineStr">
        <is>
          <t>P3</t>
        </is>
      </c>
    </row>
    <row r="11">
      <c r="C11">
        <f>MID(B11,8,2)</f>
        <v/>
      </c>
      <c r="D11" t="inlineStr">
        <is>
          <t>10-Catastrophique</t>
        </is>
      </c>
      <c r="E11" t="inlineStr">
        <is>
          <t>10-Permanent</t>
        </is>
      </c>
      <c r="F11" t="inlineStr">
        <is>
          <t>10-Impossible</t>
        </is>
      </c>
      <c r="K11" t="inlineStr">
        <is>
          <t>P4</t>
        </is>
      </c>
    </row>
    <row r="12">
      <c r="C12">
        <f>MID(B12,8,2)</f>
        <v/>
      </c>
      <c r="K12" t="inlineStr">
        <is>
          <t>P5</t>
        </is>
      </c>
    </row>
    <row r="13">
      <c r="C13">
        <f>MID(B13,8,2)</f>
        <v/>
      </c>
      <c r="K13" t="inlineStr">
        <is>
          <t>P6</t>
        </is>
      </c>
    </row>
    <row r="14">
      <c r="C14">
        <f>MID(B14,8,2)</f>
        <v/>
      </c>
    </row>
    <row r="15">
      <c r="C15">
        <f>MID(B15,8,2)</f>
        <v/>
      </c>
    </row>
    <row r="16">
      <c r="C16">
        <f>MID(B16,8,2)</f>
        <v/>
      </c>
    </row>
    <row r="17">
      <c r="C17">
        <f>MID(B17,8,2)</f>
        <v/>
      </c>
    </row>
    <row r="18">
      <c r="C18">
        <f>MID(B18,8,2)</f>
        <v/>
      </c>
    </row>
    <row r="19">
      <c r="C19">
        <f>MID(B19,8,2)</f>
        <v/>
      </c>
    </row>
    <row r="20">
      <c r="C20">
        <f>MID(B20,8,2)</f>
        <v/>
      </c>
    </row>
    <row r="21">
      <c r="C21">
        <f>MID(B21,8,2)</f>
        <v/>
      </c>
    </row>
    <row r="22">
      <c r="C22">
        <f>MID(B22,8,2)</f>
        <v/>
      </c>
    </row>
    <row r="23">
      <c r="C23">
        <f>MID(B23,8,2)</f>
        <v/>
      </c>
    </row>
    <row r="24">
      <c r="C24">
        <f>MID(B24,8,2)</f>
        <v/>
      </c>
    </row>
    <row r="25">
      <c r="C25">
        <f>MID(B25,8,2)</f>
        <v/>
      </c>
    </row>
    <row r="26">
      <c r="C26">
        <f>MID(B26,8,2)</f>
        <v/>
      </c>
    </row>
    <row r="27">
      <c r="C27">
        <f>MID(B27,8,2)</f>
        <v/>
      </c>
    </row>
    <row r="28">
      <c r="C28">
        <f>MID(B28,8,2)</f>
        <v/>
      </c>
    </row>
    <row r="29">
      <c r="C29">
        <f>MID(B29,8,2)</f>
        <v/>
      </c>
    </row>
    <row r="30">
      <c r="C30">
        <f>MID(B30,8,2)</f>
        <v/>
      </c>
    </row>
    <row r="31">
      <c r="C31">
        <f>MID(B31,8,2)</f>
        <v/>
      </c>
    </row>
    <row r="32">
      <c r="C32">
        <f>MID(B32,8,2)</f>
        <v/>
      </c>
    </row>
    <row r="33">
      <c r="C33">
        <f>MID(B33,8,2)</f>
        <v/>
      </c>
    </row>
    <row r="34">
      <c r="C34">
        <f>MID(B34,8,2)</f>
        <v/>
      </c>
    </row>
    <row r="35">
      <c r="C35">
        <f>MID(B35,8,2)</f>
        <v/>
      </c>
    </row>
    <row r="36">
      <c r="C36">
        <f>MID(B36,8,2)</f>
        <v/>
      </c>
    </row>
    <row r="37">
      <c r="C37">
        <f>MID(B37,8,2)</f>
        <v/>
      </c>
    </row>
    <row r="38">
      <c r="C38">
        <f>MID(B38,8,2)</f>
        <v/>
      </c>
    </row>
    <row r="39">
      <c r="C39">
        <f>MID(B39,8,2)</f>
        <v/>
      </c>
    </row>
    <row r="40">
      <c r="C40">
        <f>MID(B40,8,2)</f>
        <v/>
      </c>
    </row>
    <row r="41">
      <c r="C41">
        <f>MID(B41,8,2)</f>
        <v/>
      </c>
    </row>
    <row r="42">
      <c r="C42">
        <f>MID(B42,8,2)</f>
        <v/>
      </c>
    </row>
    <row r="43">
      <c r="C43">
        <f>MID(B43,8,2)</f>
        <v/>
      </c>
    </row>
    <row r="44">
      <c r="C44">
        <f>MID(B44,8,2)</f>
        <v/>
      </c>
    </row>
    <row r="45">
      <c r="C45">
        <f>MID(B45,8,2)</f>
        <v/>
      </c>
    </row>
    <row r="46">
      <c r="C46">
        <f>MID(B46,8,2)</f>
        <v/>
      </c>
    </row>
    <row r="47">
      <c r="C47">
        <f>MID(B47,8,2)</f>
        <v/>
      </c>
    </row>
    <row r="48">
      <c r="C48">
        <f>MID(B48,8,2)</f>
        <v/>
      </c>
    </row>
    <row r="49">
      <c r="C49">
        <f>MID(B49,8,2)</f>
        <v/>
      </c>
    </row>
    <row r="50">
      <c r="C50">
        <f>MID(B50,8,2)</f>
        <v/>
      </c>
    </row>
    <row r="51">
      <c r="C51">
        <f>MID(B51,8,2)</f>
        <v/>
      </c>
    </row>
    <row r="52">
      <c r="C52">
        <f>MID(B52,8,2)</f>
        <v/>
      </c>
    </row>
    <row r="53">
      <c r="C53">
        <f>MID(B53,8,2)</f>
        <v/>
      </c>
    </row>
    <row r="54">
      <c r="C54">
        <f>MID(B54,8,2)</f>
        <v/>
      </c>
    </row>
    <row r="55">
      <c r="C55">
        <f>MID(B55,8,2)</f>
        <v/>
      </c>
    </row>
    <row r="56">
      <c r="C56">
        <f>MID(B56,8,2)</f>
        <v/>
      </c>
    </row>
    <row r="57">
      <c r="C57">
        <f>MID(B57,8,2)</f>
        <v/>
      </c>
    </row>
    <row r="58">
      <c r="C58">
        <f>MID(B58,8,2)</f>
        <v/>
      </c>
    </row>
    <row r="59">
      <c r="C59">
        <f>MID(B59,8,2)</f>
        <v/>
      </c>
    </row>
    <row r="60">
      <c r="C60">
        <f>MID(B60,8,2)</f>
        <v/>
      </c>
    </row>
    <row r="61">
      <c r="C61">
        <f>MID(B61,8,2)</f>
        <v/>
      </c>
    </row>
    <row r="62">
      <c r="C62">
        <f>MID(B62,8,2)</f>
        <v/>
      </c>
    </row>
    <row r="63">
      <c r="C63">
        <f>MID(B63,8,2)</f>
        <v/>
      </c>
    </row>
    <row r="64">
      <c r="C64">
        <f>MID(B64,8,2)</f>
        <v/>
      </c>
    </row>
    <row r="65">
      <c r="C65">
        <f>MID(B65,8,2)</f>
        <v/>
      </c>
    </row>
    <row r="66">
      <c r="C66">
        <f>MID(B66,8,2)</f>
        <v/>
      </c>
    </row>
    <row r="67">
      <c r="C67">
        <f>MID(B67,8,2)</f>
        <v/>
      </c>
    </row>
    <row r="68">
      <c r="C68">
        <f>MID(B68,8,2)</f>
        <v/>
      </c>
    </row>
    <row r="69">
      <c r="C69">
        <f>MID(B69,8,2)</f>
        <v/>
      </c>
    </row>
    <row r="70">
      <c r="C70">
        <f>MID(B70,8,2)</f>
        <v/>
      </c>
    </row>
    <row r="71">
      <c r="C71">
        <f>MID(B71,8,2)</f>
        <v/>
      </c>
    </row>
    <row r="72">
      <c r="C72">
        <f>MID(B72,8,2)</f>
        <v/>
      </c>
    </row>
    <row r="73">
      <c r="C73">
        <f>MID(B73,8,2)</f>
        <v/>
      </c>
    </row>
    <row r="74">
      <c r="C74">
        <f>MID(B74,8,2)</f>
        <v/>
      </c>
    </row>
    <row r="75">
      <c r="C75">
        <f>MID(B75,8,2)</f>
        <v/>
      </c>
    </row>
    <row r="76">
      <c r="C76">
        <f>MID(B76,8,2)</f>
        <v/>
      </c>
    </row>
    <row r="77">
      <c r="C77">
        <f>MID(B77,8,2)</f>
        <v/>
      </c>
    </row>
    <row r="78">
      <c r="C78">
        <f>MID(B78,8,2)</f>
        <v/>
      </c>
    </row>
    <row r="79">
      <c r="C79">
        <f>MID(B79,8,2)</f>
        <v/>
      </c>
    </row>
    <row r="80">
      <c r="C80">
        <f>MID(B80,8,2)</f>
        <v/>
      </c>
    </row>
    <row r="81">
      <c r="C81">
        <f>MID(B81,8,2)</f>
        <v/>
      </c>
    </row>
    <row r="82">
      <c r="C82">
        <f>MID(B82,8,2)</f>
        <v/>
      </c>
    </row>
    <row r="83">
      <c r="C83">
        <f>MID(B83,8,2)</f>
        <v/>
      </c>
    </row>
    <row r="84">
      <c r="C84">
        <f>MID(B84,8,2)</f>
        <v/>
      </c>
    </row>
    <row r="85">
      <c r="C85">
        <f>MID(B85,8,2)</f>
        <v/>
      </c>
    </row>
    <row r="86">
      <c r="C86">
        <f>MID(B86,8,2)</f>
        <v/>
      </c>
    </row>
    <row r="87">
      <c r="C87">
        <f>MID(B87,8,2)</f>
        <v/>
      </c>
    </row>
    <row r="88">
      <c r="C88">
        <f>MID(B88,8,2)</f>
        <v/>
      </c>
    </row>
    <row r="89">
      <c r="C89">
        <f>MID(B89,8,2)</f>
        <v/>
      </c>
    </row>
    <row r="90">
      <c r="C90">
        <f>MID(B90,8,2)</f>
        <v/>
      </c>
    </row>
    <row r="91">
      <c r="C91">
        <f>MID(B91,8,2)</f>
        <v/>
      </c>
    </row>
    <row r="92">
      <c r="C92">
        <f>MID(B92,8,2)</f>
        <v/>
      </c>
    </row>
    <row r="93">
      <c r="C93">
        <f>MID(B93,8,2)</f>
        <v/>
      </c>
    </row>
    <row r="94">
      <c r="C94">
        <f>MID(B94,8,2)</f>
        <v/>
      </c>
    </row>
    <row r="95">
      <c r="C95">
        <f>MID(B95,8,2)</f>
        <v/>
      </c>
    </row>
    <row r="96">
      <c r="C96">
        <f>MID(B96,8,2)</f>
        <v/>
      </c>
    </row>
    <row r="97">
      <c r="C97">
        <f>MID(B97,8,2)</f>
        <v/>
      </c>
    </row>
    <row r="98">
      <c r="C98">
        <f>MID(B98,8,2)</f>
        <v/>
      </c>
    </row>
    <row r="99">
      <c r="C99">
        <f>MID(B99,8,2)</f>
        <v/>
      </c>
    </row>
    <row r="100">
      <c r="C100">
        <f>MID(B100,8,2)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Guillaume Pomiès</dc:creator>
  <dcterms:created xmlns:dcterms="http://purl.org/dc/terms/" xmlns:xsi="http://www.w3.org/2001/XMLSchema-instance" xsi:type="dcterms:W3CDTF">2022-04-29T08:27:03Z</dcterms:created>
  <dcterms:modified xmlns:dcterms="http://purl.org/dc/terms/" xmlns:xsi="http://www.w3.org/2001/XMLSchema-instance" xsi:type="dcterms:W3CDTF">2022-05-18T10:19:03Z</dcterms:modified>
  <cp:lastModifiedBy>Guillaume Pomiès</cp:lastModifiedBy>
  <cp:lastPrinted>2022-05-16T14:38:08Z</cp:lastPrinted>
</cp:coreProperties>
</file>